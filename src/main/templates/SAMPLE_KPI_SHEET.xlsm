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ckukn\Downloads\"/>
    </mc:Choice>
  </mc:AlternateContent>
  <xr:revisionPtr revIDLastSave="0" documentId="13_ncr:1_{A6876327-EC7C-4351-9374-4ADDC2F6EB60}" xr6:coauthVersionLast="47" xr6:coauthVersionMax="47" xr10:uidLastSave="{00000000-0000-0000-0000-000000000000}"/>
  <bookViews>
    <workbookView xWindow="-98" yWindow="-98" windowWidth="21795" windowHeight="12975" tabRatio="778" activeTab="1" xr2:uid="{00000000-000D-0000-FFFF-FFFF00000000}"/>
  </bookViews>
  <sheets>
    <sheet name="Overview" sheetId="1" r:id="rId1"/>
    <sheet name="KPI_104" sheetId="2" r:id="rId2"/>
  </sheets>
  <functionGroups builtInGroupCount="19"/>
  <externalReferences>
    <externalReference r:id="rId3"/>
    <externalReference r:id="rId4"/>
    <externalReference r:id="rId5"/>
  </externalReferences>
  <definedNames>
    <definedName name="_____________________________________________">#REF!</definedName>
    <definedName name="_xlnm._FilterDatabase" localSheetId="0" hidden="1">Overview!$A$3:$K$18</definedName>
    <definedName name="aa">'[1]SCWE KPIS'!#REF!</definedName>
    <definedName name="AAA">'[1]SCWE KPIS'!#REF!</definedName>
    <definedName name="AB">'[1]SCWE KPIS'!#REF!</definedName>
    <definedName name="bbb">'[1]SCWE KPIS'!#REF!</definedName>
    <definedName name="BusinessPartnerships">#REF!</definedName>
    <definedName name="da">#REF!</definedName>
    <definedName name="Digitization_and_Technology">#REF!</definedName>
    <definedName name="DT">#REF!</definedName>
    <definedName name="L2.SCWE.08">'[1]SCWE KPIS'!#REF!</definedName>
    <definedName name="L3.PC.PS.03">'[1]SCWE KPIS'!#REF!</definedName>
    <definedName name="LegalAffairs">[2]!LegelAffairs[LegalAffairs]</definedName>
    <definedName name="Project">[3]Sheet2!$A$2:$A$59</definedName>
    <definedName name="Slicer_2022_Status">#N/A</definedName>
    <definedName name="TAHKOM_KPIS">#REF!</definedName>
    <definedName name="THAKOM_KPI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6" i="2" l="1"/>
  <c r="V15" i="2"/>
  <c r="R15" i="2"/>
  <c r="F18" i="1" a="1"/>
  <c r="F7" i="1" a="1"/>
  <c r="F17" i="1" a="1"/>
  <c r="F6" i="1" a="1"/>
  <c r="F16" i="1" a="1"/>
  <c r="F5" i="1" a="1"/>
  <c r="F15" i="1" a="1"/>
  <c r="F4" i="1" a="1"/>
  <c r="F14" i="1" a="1"/>
  <c r="F13" i="1" a="1"/>
  <c r="F12" i="1" a="1"/>
  <c r="F11" i="1" a="1"/>
  <c r="F10" i="1" a="1"/>
  <c r="F9" i="1" a="1"/>
  <c r="F8" i="1" a="1"/>
  <c r="F8" i="1" l="1"/>
  <c r="F9" i="1"/>
  <c r="F10" i="1"/>
  <c r="F11" i="1"/>
  <c r="F12" i="1"/>
  <c r="F13" i="1"/>
  <c r="F14" i="1"/>
  <c r="F4" i="1"/>
  <c r="F15" i="1"/>
  <c r="F5" i="1"/>
  <c r="F16" i="1"/>
  <c r="F6" i="1"/>
  <c r="F17" i="1"/>
  <c r="F7" i="1"/>
  <c r="F18" i="1"/>
  <c r="D12" i="1" a="1"/>
  <c r="B12" i="1" a="1"/>
  <c r="C12" i="1" a="1"/>
  <c r="D7" i="1" a="1"/>
  <c r="H5" i="1" a="1"/>
  <c r="K13" i="1" a="1"/>
  <c r="C13" i="1" a="1"/>
  <c r="C7" i="1" a="1"/>
  <c r="G6" i="1" a="1"/>
  <c r="G15" i="1" a="1"/>
  <c r="E15" i="1" a="1"/>
  <c r="B17" i="1" a="1"/>
  <c r="C4" i="1" a="1"/>
  <c r="K4" i="1" a="1"/>
  <c r="D6" i="1" a="1"/>
  <c r="J13" i="1" a="1"/>
  <c r="I17" i="1" a="1"/>
  <c r="B5" i="1" a="1"/>
  <c r="J14" i="1" a="1"/>
  <c r="G17" i="1" a="1"/>
  <c r="B10" i="1" a="1"/>
  <c r="I5" i="1" a="1"/>
  <c r="C14" i="1" a="1"/>
  <c r="G5" i="1" a="1"/>
  <c r="J10" i="1" a="1"/>
  <c r="K17" i="1" a="1"/>
  <c r="D8" i="1" a="1"/>
  <c r="D16" i="1" a="1"/>
  <c r="J8" i="1" a="1"/>
  <c r="E14" i="1" a="1"/>
  <c r="G11" i="1" a="1"/>
  <c r="I13" i="1" a="1"/>
  <c r="I12" i="1" a="1"/>
  <c r="D18" i="1" a="1"/>
  <c r="J12" i="1" a="1"/>
  <c r="I9" i="1" a="1"/>
  <c r="C16" i="1" a="1"/>
  <c r="E7" i="1" a="1"/>
  <c r="G10" i="1" a="1"/>
  <c r="J5" i="1" a="1"/>
  <c r="D10" i="1" a="1"/>
  <c r="D14" i="1" a="1"/>
  <c r="H13" i="1" a="1"/>
  <c r="G13" i="1" a="1"/>
  <c r="J16" i="1" a="1"/>
  <c r="D4" i="1" a="1"/>
  <c r="E18" i="1" a="1"/>
  <c r="K12" i="1" a="1"/>
  <c r="G12" i="1" a="1"/>
  <c r="K14" i="1" a="1"/>
  <c r="E4" i="1" a="1"/>
  <c r="J6" i="1" a="1"/>
  <c r="G18" i="1" a="1"/>
  <c r="H14" i="1" a="1"/>
  <c r="C9" i="1" a="1"/>
  <c r="E13" i="1" a="1"/>
  <c r="A11" i="1" a="1"/>
  <c r="H4" i="1" a="1"/>
  <c r="D11" i="1" a="1"/>
  <c r="E16" i="1" a="1"/>
  <c r="A18" i="1" a="1"/>
  <c r="G7" i="1" a="1"/>
  <c r="B8" i="1" a="1"/>
  <c r="H12" i="1" a="1"/>
  <c r="H10" i="1" a="1"/>
  <c r="G8" i="1" a="1"/>
  <c r="D17" i="1" a="1"/>
  <c r="G4" i="1" a="1"/>
  <c r="B16" i="1" a="1"/>
  <c r="A5" i="1" a="1"/>
  <c r="J9" i="1" a="1"/>
  <c r="J17" i="1" a="1"/>
  <c r="I10" i="1" a="1"/>
  <c r="A15" i="1" a="1"/>
  <c r="K18" i="1" a="1"/>
  <c r="E6" i="1" a="1"/>
  <c r="G16" i="1" a="1"/>
  <c r="B4" i="1" a="1"/>
  <c r="I18" i="1" a="1"/>
  <c r="C11" i="1" a="1"/>
  <c r="J7" i="1" a="1"/>
  <c r="A16" i="1" a="1"/>
  <c r="K16" i="1" a="1"/>
  <c r="J15" i="1" a="1"/>
  <c r="B6" i="1" a="1"/>
  <c r="C10" i="1" a="1"/>
  <c r="H11" i="1" a="1"/>
  <c r="D15" i="1" a="1"/>
  <c r="B11" i="1" a="1"/>
  <c r="E10" i="1" a="1"/>
  <c r="D13" i="1" a="1"/>
  <c r="K10" i="1" a="1"/>
  <c r="B9" i="1" a="1"/>
  <c r="H8" i="1" a="1"/>
  <c r="C8" i="1" a="1"/>
  <c r="I8" i="1" a="1"/>
  <c r="J11" i="1" a="1"/>
  <c r="D5" i="1" a="1"/>
  <c r="J4" i="1" a="1"/>
  <c r="B15" i="1" a="1"/>
  <c r="K9" i="1" a="1"/>
  <c r="G9" i="1" a="1"/>
  <c r="K6" i="1" a="1"/>
  <c r="A17" i="1" a="1"/>
  <c r="K5" i="1" a="1"/>
  <c r="I16" i="1" a="1"/>
  <c r="A8" i="1" a="1"/>
  <c r="I6" i="1" a="1"/>
  <c r="A14" i="1" a="1"/>
  <c r="H18" i="1" a="1"/>
  <c r="K8" i="1" a="1"/>
  <c r="E8" i="1" a="1"/>
  <c r="C18" i="1" a="1"/>
  <c r="B18" i="1" a="1"/>
  <c r="A6" i="1" a="1"/>
  <c r="E5" i="1" a="1"/>
  <c r="B7" i="1" a="1"/>
  <c r="E11" i="1" a="1"/>
  <c r="H15" i="1" a="1"/>
  <c r="I7" i="1" a="1"/>
  <c r="H6" i="1" a="1"/>
  <c r="I14" i="1" a="1"/>
  <c r="H17" i="1" a="1"/>
  <c r="A10" i="1" a="1"/>
  <c r="J18" i="1" a="1"/>
  <c r="K11" i="1" a="1"/>
  <c r="H9" i="1" a="1"/>
  <c r="I11" i="1" a="1"/>
  <c r="D9" i="1" a="1"/>
  <c r="E9" i="1" a="1"/>
  <c r="A7" i="1" a="1"/>
  <c r="B14" i="1" a="1"/>
  <c r="C15" i="1" a="1"/>
  <c r="C6" i="1" a="1"/>
  <c r="K7" i="1" a="1"/>
  <c r="C5" i="1" a="1"/>
  <c r="A13" i="1" a="1"/>
  <c r="I4" i="1" a="1"/>
  <c r="B13" i="1" a="1"/>
  <c r="K15" i="1" a="1"/>
  <c r="G14" i="1" a="1"/>
  <c r="E17" i="1" a="1"/>
  <c r="E12" i="1" a="1"/>
  <c r="A9" i="1" a="1"/>
  <c r="A12" i="1" a="1"/>
  <c r="C17" i="1" a="1"/>
  <c r="H16" i="1" a="1"/>
  <c r="I15" i="1" a="1"/>
  <c r="H7" i="1" a="1"/>
  <c r="A4" i="1" a="1"/>
  <c r="A4" i="1" l="1"/>
  <c r="H7" i="1"/>
  <c r="I15" i="1"/>
  <c r="H16" i="1"/>
  <c r="C17" i="1"/>
  <c r="A12" i="1"/>
  <c r="A9" i="1"/>
  <c r="E12" i="1"/>
  <c r="E17" i="1"/>
  <c r="G14" i="1"/>
  <c r="K15" i="1"/>
  <c r="B13" i="1"/>
  <c r="I4" i="1"/>
  <c r="A13" i="1"/>
  <c r="C5" i="1"/>
  <c r="K7" i="1"/>
  <c r="C6" i="1"/>
  <c r="C15" i="1"/>
  <c r="B14" i="1"/>
  <c r="A7" i="1"/>
  <c r="E9" i="1"/>
  <c r="D9" i="1"/>
  <c r="I11" i="1"/>
  <c r="H9" i="1"/>
  <c r="K11" i="1"/>
  <c r="J18" i="1"/>
  <c r="A10" i="1"/>
  <c r="H17" i="1"/>
  <c r="I14" i="1"/>
  <c r="H6" i="1"/>
  <c r="I7" i="1"/>
  <c r="H15" i="1"/>
  <c r="E11" i="1"/>
  <c r="B7" i="1"/>
  <c r="E5" i="1"/>
  <c r="A6" i="1"/>
  <c r="B18" i="1"/>
  <c r="C18" i="1"/>
  <c r="E8" i="1"/>
  <c r="K8" i="1"/>
  <c r="H18" i="1"/>
  <c r="A14" i="1"/>
  <c r="I6" i="1"/>
  <c r="A8" i="1"/>
  <c r="I16" i="1"/>
  <c r="K5" i="1"/>
  <c r="A17" i="1"/>
  <c r="K6" i="1"/>
  <c r="G9" i="1"/>
  <c r="K9" i="1"/>
  <c r="B15" i="1"/>
  <c r="J4" i="1"/>
  <c r="D5" i="1"/>
  <c r="J11" i="1"/>
  <c r="I8" i="1"/>
  <c r="C8" i="1"/>
  <c r="H8" i="1"/>
  <c r="B9" i="1"/>
  <c r="K10" i="1"/>
  <c r="D13" i="1"/>
  <c r="E10" i="1"/>
  <c r="B11" i="1"/>
  <c r="D15" i="1"/>
  <c r="H11" i="1"/>
  <c r="C10" i="1"/>
  <c r="B6" i="1"/>
  <c r="J15" i="1"/>
  <c r="K16" i="1"/>
  <c r="A16" i="1"/>
  <c r="J7" i="1"/>
  <c r="C11" i="1"/>
  <c r="I18" i="1"/>
  <c r="B4" i="1"/>
  <c r="G16" i="1"/>
  <c r="E6" i="1"/>
  <c r="K18" i="1"/>
  <c r="A15" i="1"/>
  <c r="I10" i="1"/>
  <c r="J17" i="1"/>
  <c r="J9" i="1"/>
  <c r="A5" i="1"/>
  <c r="B16" i="1"/>
  <c r="G4" i="1"/>
  <c r="D17" i="1"/>
  <c r="G8" i="1"/>
  <c r="H10" i="1"/>
  <c r="H12" i="1"/>
  <c r="B8" i="1"/>
  <c r="G7" i="1"/>
  <c r="A18" i="1"/>
  <c r="E16" i="1"/>
  <c r="D11" i="1"/>
  <c r="H4" i="1"/>
  <c r="A11" i="1"/>
  <c r="E13" i="1"/>
  <c r="C9" i="1"/>
  <c r="H14" i="1"/>
  <c r="G18" i="1"/>
  <c r="J6" i="1"/>
  <c r="E4" i="1"/>
  <c r="K14" i="1"/>
  <c r="G12" i="1"/>
  <c r="K12" i="1"/>
  <c r="E18" i="1"/>
  <c r="D4" i="1"/>
  <c r="J16" i="1"/>
  <c r="G13" i="1"/>
  <c r="H13" i="1"/>
  <c r="D14" i="1"/>
  <c r="D10" i="1"/>
  <c r="J5" i="1"/>
  <c r="G10" i="1"/>
  <c r="E7" i="1"/>
  <c r="C16" i="1"/>
  <c r="I9" i="1"/>
  <c r="J12" i="1"/>
  <c r="D18" i="1"/>
  <c r="I12" i="1"/>
  <c r="I13" i="1"/>
  <c r="G11" i="1"/>
  <c r="E14" i="1"/>
  <c r="J8" i="1"/>
  <c r="D16" i="1"/>
  <c r="D8" i="1"/>
  <c r="K17" i="1"/>
  <c r="J10" i="1"/>
  <c r="G5" i="1"/>
  <c r="C14" i="1"/>
  <c r="I5" i="1"/>
  <c r="B10" i="1"/>
  <c r="G17" i="1"/>
  <c r="J14" i="1"/>
  <c r="B5" i="1"/>
  <c r="I17" i="1"/>
  <c r="J13" i="1"/>
  <c r="D6" i="1"/>
  <c r="K4" i="1"/>
  <c r="C4" i="1"/>
  <c r="B17" i="1"/>
  <c r="E15" i="1"/>
  <c r="G15" i="1"/>
  <c r="G6" i="1"/>
  <c r="C7" i="1"/>
  <c r="C13" i="1"/>
  <c r="K13" i="1"/>
  <c r="H5" i="1"/>
  <c r="D7" i="1"/>
  <c r="C12" i="1"/>
  <c r="B12" i="1"/>
  <c r="D1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CPM Department</author>
  </authors>
  <commentList>
    <comment ref="A4" authorId="0" shapeId="0" xr:uid="{00000000-0006-0000-0100-000001000000}">
      <text>
        <r>
          <rPr>
            <sz val="11"/>
            <color theme="1"/>
            <rFont val="Calibri"/>
            <family val="2"/>
            <scheme val="minor"/>
          </rPr>
          <t>Please Select the relevant sector from the dropdown list</t>
        </r>
      </text>
    </comment>
    <comment ref="I4" authorId="0" shapeId="0" xr:uid="{00000000-0006-0000-0100-000002000000}">
      <text>
        <r>
          <rPr>
            <sz val="11"/>
            <color theme="1"/>
            <rFont val="Calibri"/>
            <family val="2"/>
            <scheme val="minor"/>
          </rPr>
          <t>Kindly specify who is the owner of this KPI, i.e, the name of the stakeholder responsible of this KPI's information</t>
        </r>
      </text>
    </comment>
    <comment ref="A5" authorId="0" shapeId="0" xr:uid="{00000000-0006-0000-0100-000003000000}">
      <text>
        <r>
          <rPr>
            <sz val="11"/>
            <color theme="1"/>
            <rFont val="Calibri"/>
            <family val="2"/>
            <scheme val="minor"/>
          </rPr>
          <t>Please Select the relevant department from the dropdown list</t>
        </r>
      </text>
    </comment>
    <comment ref="I5" authorId="0" shapeId="0" xr:uid="{00000000-0006-0000-0100-000004000000}">
      <text>
        <r>
          <rPr>
            <sz val="11"/>
            <color theme="1"/>
            <rFont val="Calibri"/>
            <family val="2"/>
            <scheme val="minor"/>
          </rPr>
          <t>Kindly specify the name of the department's champion, i.e, who will be the point of contact between the department / sector and the CPM department. The champion is the same for KPIs of the same sector</t>
        </r>
      </text>
    </comment>
    <comment ref="A7" authorId="0" shapeId="0" xr:uid="{00000000-0006-0000-0100-000005000000}">
      <text>
        <r>
          <rPr>
            <sz val="11"/>
            <color theme="1"/>
            <rFont val="Calibri"/>
            <family val="2"/>
            <scheme val="minor"/>
          </rPr>
          <t>Please Select the relevant Strategic Theme from the dropdown list. You may refer to the guidelines' sheet to check which Strategic Themes are suitable for your department / sector</t>
        </r>
      </text>
    </comment>
    <comment ref="A8" authorId="0" shapeId="0" xr:uid="{00000000-0006-0000-0100-000006000000}">
      <text>
        <r>
          <rPr>
            <sz val="11"/>
            <color theme="1"/>
            <rFont val="Calibri"/>
            <family val="2"/>
            <scheme val="minor"/>
          </rPr>
          <t>KPI codes are set by the CPM department. Therefore, please keep this cell as it is</t>
        </r>
      </text>
    </comment>
    <comment ref="F8" authorId="0" shapeId="0" xr:uid="{00000000-0006-0000-0100-000007000000}">
      <text>
        <r>
          <rPr>
            <sz val="11"/>
            <color theme="1"/>
            <rFont val="Calibri"/>
            <family val="2"/>
            <scheme val="minor"/>
          </rPr>
          <t xml:space="preserve">Kindly refer to the guidelines' sheet to come up with a "SMART" KPI. When deciding on a KPI, you may consider the following:
- Are the KPIs aligned with the objectives?
- Are the KPIs clear?
- Is my department the owner of the KPI?
</t>
        </r>
      </text>
    </comment>
    <comment ref="A9" authorId="0" shapeId="0" xr:uid="{00000000-0006-0000-0100-000008000000}">
      <text>
        <r>
          <rPr>
            <sz val="11"/>
            <color theme="1"/>
            <rFont val="Calibri"/>
            <family val="2"/>
            <scheme val="minor"/>
          </rPr>
          <t>A KPI could be seen through one of these 4 perspectives:
- Financial: What financial results that are needed to fill the stakeholders expectation.
- Customer: What the customer needs that must be fulfilled to meet customer expectations.
- Internal Business Process: What kind of process that should be done to fill the customers and stakeholders.
- Learning &amp; Growth: What can we focus on to make our employees more effective to meet the strategic theme and goals.
Kindly select the relevant perspectove from the dropdown list</t>
        </r>
      </text>
    </comment>
    <comment ref="F9" authorId="0" shapeId="0" xr:uid="{00000000-0006-0000-0100-000009000000}">
      <text>
        <r>
          <rPr>
            <sz val="11"/>
            <color theme="1"/>
            <rFont val="Calibri"/>
            <family val="2"/>
            <scheme val="minor"/>
          </rPr>
          <t>Based on the sensitivity of the data, kindly identify whether the data is confidential or not. The CPM team might ask the department for more information in the case where the choice of confidentiality is not clear</t>
        </r>
      </text>
    </comment>
    <comment ref="A10" authorId="0" shapeId="0" xr:uid="{00000000-0006-0000-0100-00000A000000}">
      <text>
        <r>
          <rPr>
            <sz val="11"/>
            <color theme="1"/>
            <rFont val="Calibri"/>
            <family val="2"/>
            <scheme val="minor"/>
          </rPr>
          <t>If the KPI is linked to one of the previous levels KPIs, kindly specify it by choosing one of the KPIs from the dropdown list.
Note: Level 3 KPIs will be linked to Level 2, while Level 2 KPIs will be linked to Level 1. Some of the KPIs may not have linkages to previous levels. In that case, this cell should be kept empty</t>
        </r>
      </text>
    </comment>
    <comment ref="F10" authorId="0" shapeId="0" xr:uid="{00000000-0006-0000-0100-00000B000000}">
      <text>
        <r>
          <rPr>
            <sz val="11"/>
            <color theme="1"/>
            <rFont val="Calibri"/>
            <family val="2"/>
            <scheme val="minor"/>
          </rPr>
          <t>Kindly specify the KPI's polarity based on the following:
- If the KPI is performing better when its actual value is above its target, then it is a positive polarity KPI
- If the KPI is performing better when its actual value is below its target, then it is a negative polarity KPI</t>
        </r>
      </text>
    </comment>
    <comment ref="J10" authorId="0" shapeId="0" xr:uid="{00000000-0006-0000-0100-00000C000000}">
      <text>
        <r>
          <rPr>
            <sz val="11"/>
            <color theme="1"/>
            <rFont val="Calibri"/>
            <family val="2"/>
            <scheme val="minor"/>
          </rPr>
          <t>Kindly specify the correspponding unit of measurement of the KPI</t>
        </r>
      </text>
    </comment>
    <comment ref="A11" authorId="0" shapeId="0" xr:uid="{00000000-0006-0000-0100-00000D000000}">
      <text>
        <r>
          <rPr>
            <sz val="11"/>
            <color theme="1"/>
            <rFont val="Calibri"/>
            <family val="2"/>
            <scheme val="minor"/>
          </rPr>
          <t>Kindly detail the description as much as possible by clarifying the definition of every important term in the KPI</t>
        </r>
      </text>
    </comment>
    <comment ref="A13" authorId="0" shapeId="0" xr:uid="{00000000-0006-0000-0100-00000E000000}">
      <text>
        <r>
          <rPr>
            <sz val="11"/>
            <color theme="1"/>
            <rFont val="Calibri"/>
            <family val="2"/>
            <scheme val="minor"/>
          </rPr>
          <t>Kindly specify the formula needed to calculate the KPI</t>
        </r>
      </text>
    </comment>
    <comment ref="A14" authorId="0" shapeId="0" xr:uid="{00000000-0006-0000-0100-00000F000000}">
      <text>
        <r>
          <rPr>
            <sz val="11"/>
            <color theme="1"/>
            <rFont val="Calibri"/>
            <family val="2"/>
            <scheme val="minor"/>
          </rPr>
          <t>- Data Points are the elements needed to calculate the KPI. For example:
KPI: "% reports submitted on time"
- The data points needed to calculate this KPI could be:
(Report ID, Actual Submission Date Planned Submission Date)</t>
        </r>
      </text>
    </comment>
    <comment ref="A15" authorId="0" shapeId="0" xr:uid="{00000000-0006-0000-0100-000010000000}">
      <text>
        <r>
          <rPr>
            <sz val="11"/>
            <color theme="1"/>
            <rFont val="Calibri"/>
            <family val="2"/>
            <scheme val="minor"/>
          </rPr>
          <t>A baseline for the performance measure is the average level of performance that the KPI is currently at. 
Some KPIs do not have a current baseline since they were not previously used by the department / sector. In this case, kindly keep this cell empty.</t>
        </r>
      </text>
    </comment>
    <comment ref="F15" authorId="0" shapeId="0" xr:uid="{00000000-0006-0000-0100-000011000000}">
      <text>
        <r>
          <rPr>
            <sz val="11"/>
            <color theme="1"/>
            <rFont val="Calibri"/>
            <family val="2"/>
            <scheme val="minor"/>
          </rPr>
          <t>Kindly specify the number of days needed to submit the relevant KPI data once the performance cycle starts. The SLA for this activity is a maximum of 5 Business Days</t>
        </r>
      </text>
    </comment>
    <comment ref="J15" authorId="0" shapeId="0" xr:uid="{00000000-0006-0000-0100-000012000000}">
      <text>
        <r>
          <rPr>
            <sz val="11"/>
            <color theme="1"/>
            <rFont val="Calibri"/>
            <family val="2"/>
            <scheme val="minor"/>
          </rPr>
          <t>If the department estimates that the data collection time will need more than 5 Business Days, kindly clarify the reason in this cell</t>
        </r>
      </text>
    </comment>
    <comment ref="A16" authorId="0" shapeId="0" xr:uid="{00000000-0006-0000-0100-000013000000}">
      <text>
        <r>
          <rPr>
            <sz val="11"/>
            <color theme="1"/>
            <rFont val="Calibri"/>
            <family val="2"/>
            <scheme val="minor"/>
          </rPr>
          <t>Kindly specify the Data Source of this KPI, i.e, where is this KPI's data extracted from</t>
        </r>
      </text>
    </comment>
    <comment ref="F16" authorId="0" shapeId="0" xr:uid="{00000000-0006-0000-0100-000014000000}">
      <text>
        <r>
          <rPr>
            <sz val="11"/>
            <color theme="1"/>
            <rFont val="Calibri"/>
            <family val="2"/>
            <scheme val="minor"/>
          </rPr>
          <t>Kindly specify the Data Source Type of this KPI by choosing an option from the dropdown list</t>
        </r>
      </text>
    </comment>
    <comment ref="J16" authorId="0" shapeId="0" xr:uid="{00000000-0006-0000-0100-000015000000}">
      <text>
        <r>
          <rPr>
            <sz val="11"/>
            <color theme="1"/>
            <rFont val="Calibri"/>
            <family val="2"/>
            <scheme val="minor"/>
          </rPr>
          <t>Kindly determine the KPI's weight (in Percentage) based on its importance for the department. The sum of all the KPIs' weights should add up to 100%. The weight of a KPI can not be less than 5%</t>
        </r>
      </text>
    </comment>
    <comment ref="A17" authorId="0" shapeId="0" xr:uid="{00000000-0006-0000-0100-000016000000}">
      <text>
        <r>
          <rPr>
            <sz val="11"/>
            <color theme="1"/>
            <rFont val="Calibri"/>
            <family val="2"/>
            <scheme val="minor"/>
          </rPr>
          <t xml:space="preserve">If the KPI is related to a certain initiative, kindly specify it in this cell. Kindly note that you can insert more than one initiatve for a certain KPI. You may use the initiatives' sheet as a reference
</t>
        </r>
      </text>
    </comment>
    <comment ref="A18" authorId="0" shapeId="0" xr:uid="{00000000-0006-0000-0100-000017000000}">
      <text>
        <r>
          <rPr>
            <sz val="11"/>
            <color theme="1"/>
            <rFont val="Calibri"/>
            <family val="2"/>
            <scheme val="minor"/>
          </rPr>
          <t xml:space="preserve">Please add any comment / exceptions that the department finds relevant for this KPI
</t>
        </r>
      </text>
    </comment>
    <comment ref="A19" authorId="0" shapeId="0" xr:uid="{00000000-0006-0000-0100-000018000000}">
      <text>
        <r>
          <rPr>
            <sz val="11"/>
            <color theme="1"/>
            <rFont val="Calibri"/>
            <family val="2"/>
            <scheme val="minor"/>
          </rPr>
          <t xml:space="preserve">This section will reflect the actual KPI scores during the year. Kindly keep these cells empty
</t>
        </r>
      </text>
    </comment>
    <comment ref="A22" authorId="0" shapeId="0" xr:uid="{00000000-0006-0000-0100-000019000000}">
      <text>
        <r>
          <rPr>
            <sz val="11"/>
            <color theme="1"/>
            <rFont val="Calibri"/>
            <family val="2"/>
            <scheme val="minor"/>
          </rPr>
          <t xml:space="preserve">Kindly specify the target distribution for this KPI by first determining the yearly target and then distributing the target throughout the year
</t>
        </r>
      </text>
    </comment>
    <comment ref="A25" authorId="0" shapeId="0" xr:uid="{00000000-0006-0000-0100-00001A000000}">
      <text>
        <r>
          <rPr>
            <sz val="11"/>
            <color theme="1"/>
            <rFont val="Calibri"/>
            <family val="2"/>
            <scheme val="minor"/>
          </rPr>
          <t>For CPM Use Only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<sst xmlns="http://schemas.openxmlformats.org/spreadsheetml/2006/main" count="118" uniqueCount="89">
  <si>
    <t>KPI Code</t>
  </si>
  <si>
    <t>Initiative Name</t>
  </si>
  <si>
    <t>KPI Name (English)</t>
  </si>
  <si>
    <t>KPI Name (Arabic)</t>
  </si>
  <si>
    <t>KPI Description (English)</t>
  </si>
  <si>
    <t>Data Points</t>
  </si>
  <si>
    <t>Comments</t>
  </si>
  <si>
    <t>KPI Status</t>
  </si>
  <si>
    <t>KPI_104</t>
  </si>
  <si>
    <t>Activating governance of the strategic role of the Human Capital Sector to enhance institutional leadership</t>
  </si>
  <si>
    <t>KPI/Initiative ID, Achivement/Completion Rate</t>
  </si>
  <si>
    <t>The department is requesting to split the initiatives/KPIs into two KPIs, strategic and non-strategic</t>
  </si>
  <si>
    <t>New KPI</t>
  </si>
  <si>
    <t>KPI Status for the next year</t>
  </si>
  <si>
    <t>Department Information</t>
  </si>
  <si>
    <t>معلومات عن الإدارة</t>
  </si>
  <si>
    <t>Sector</t>
  </si>
  <si>
    <t>Strategy</t>
  </si>
  <si>
    <t>Owner</t>
  </si>
  <si>
    <t>مالك المؤشر</t>
  </si>
  <si>
    <t>القطاع</t>
  </si>
  <si>
    <t xml:space="preserve">Department </t>
  </si>
  <si>
    <t>Champion</t>
  </si>
  <si>
    <t>مسؤول المؤشر</t>
  </si>
  <si>
    <t xml:space="preserve">الإدارة </t>
  </si>
  <si>
    <t>KPI Information</t>
  </si>
  <si>
    <t>معلومات عن المؤشر</t>
  </si>
  <si>
    <t>Initiative</t>
  </si>
  <si>
    <t>KPI Type</t>
  </si>
  <si>
    <t>نوع المؤشر</t>
  </si>
  <si>
    <t>المحور الاستراتيجي</t>
  </si>
  <si>
    <t>KPI Name</t>
  </si>
  <si>
    <t>اسم المؤشر</t>
  </si>
  <si>
    <t>رمز المؤشر</t>
  </si>
  <si>
    <t>Perspective</t>
  </si>
  <si>
    <t>Confidentiality</t>
  </si>
  <si>
    <t>المنظور</t>
  </si>
  <si>
    <t>Level 1 / 2 Linkage</t>
  </si>
  <si>
    <t>Polarity</t>
  </si>
  <si>
    <t>Unit</t>
  </si>
  <si>
    <t>وحدة القياس</t>
  </si>
  <si>
    <t>قطبية</t>
  </si>
  <si>
    <t>الترابط مع المستوى
 1 أو المستوى 2</t>
  </si>
  <si>
    <t>KPI Description</t>
  </si>
  <si>
    <t xml:space="preserve">  وصف المؤشر</t>
  </si>
  <si>
    <t>KPI Formula</t>
  </si>
  <si>
    <t>معادلة القياس</t>
  </si>
  <si>
    <t>نقاط البيانات</t>
  </si>
  <si>
    <t>Baseline Value</t>
  </si>
  <si>
    <t>Data Collection
Time (B.D)</t>
  </si>
  <si>
    <t>Reason</t>
  </si>
  <si>
    <t>السبب</t>
  </si>
  <si>
    <t>الزمن التقديري
 لجمع البيانات</t>
  </si>
  <si>
    <t>القيمة المرجعية</t>
  </si>
  <si>
    <t>Data Source</t>
  </si>
  <si>
    <t>Data Source
Type</t>
  </si>
  <si>
    <t>Weight</t>
  </si>
  <si>
    <t>الوزن</t>
  </si>
  <si>
    <t>نوع مصدر البيانات</t>
  </si>
  <si>
    <t>مصدر البيانات</t>
  </si>
  <si>
    <t>Related Initiative</t>
  </si>
  <si>
    <t>المبادرات ذات صلة</t>
  </si>
  <si>
    <t>Comment / Exceptions</t>
  </si>
  <si>
    <t>Achievements</t>
  </si>
  <si>
    <t>Months</t>
  </si>
  <si>
    <t>Jan</t>
  </si>
  <si>
    <t>Feb</t>
  </si>
  <si>
    <t>Mar</t>
  </si>
  <si>
    <t>Apr</t>
  </si>
  <si>
    <t>May</t>
  </si>
  <si>
    <t>Jun</t>
  </si>
  <si>
    <t>Jul</t>
  </si>
  <si>
    <t>Aug</t>
  </si>
  <si>
    <t>Sep</t>
  </si>
  <si>
    <t>Oct</t>
  </si>
  <si>
    <t>Nov</t>
  </si>
  <si>
    <t>Dec</t>
  </si>
  <si>
    <t>Targets</t>
  </si>
  <si>
    <t>90% and above</t>
  </si>
  <si>
    <t>Historic Achievements</t>
  </si>
  <si>
    <t>Strategic Initiative completion rate for actions implemented in 2025</t>
  </si>
  <si>
    <t>KPI Overview</t>
  </si>
  <si>
    <t>Target</t>
  </si>
  <si>
    <t>Formula</t>
  </si>
  <si>
    <t>التعليقات / استثنائات</t>
  </si>
  <si>
    <t>Weekly 3 days; monthly 7 days</t>
  </si>
  <si>
    <t>السرية</t>
  </si>
  <si>
    <t>Measures the adherence to strategic initiative completion plan</t>
  </si>
  <si>
    <t>Actual Completion Rate / Planned Completion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</si>
</sst>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yy;@"/>
  </numFmts>
  <fonts count="17" x14ac:knownFonts="1">
    <font>
      <sz val="11"/>
      <color theme="1"/>
      <name val="Calibri"/>
      <family val="2"/>
      <scheme val="minor"/>
    </font>
    <font>
      <sz val="10"/>
      <color theme="1"/>
      <name val="Calibri"/>
      <family val="2"/>
      <scheme val="minor"/>
    </font>
    <font>
      <sz val="11"/>
      <name val="Calibri"/>
      <family val="2"/>
      <scheme val="minor"/>
    </font>
    <font>
      <sz val="11"/>
      <color theme="1"/>
      <name val="Calibri"/>
      <family val="2"/>
      <scheme val="minor"/>
    </font>
    <font>
      <b/>
      <sz val="10"/>
      <color rgb="FFFFFFFF"/>
      <name val="Calibri"/>
      <family val="2"/>
    </font>
    <font>
      <b/>
      <sz val="10"/>
      <name val="Calibri"/>
      <family val="2"/>
      <scheme val="minor"/>
    </font>
    <font>
      <b/>
      <sz val="11"/>
      <color rgb="FFFFFFFF"/>
      <name val="Calibri"/>
      <family val="2"/>
    </font>
    <font>
      <b/>
      <sz val="10"/>
      <color theme="1"/>
      <name val="Calibri"/>
      <family val="2"/>
      <scheme val="minor"/>
    </font>
    <font>
      <sz val="11"/>
      <color rgb="FFFFFFFF"/>
      <name val="Calibri"/>
      <family val="2"/>
    </font>
    <font>
      <b/>
      <sz val="14"/>
      <color theme="0"/>
      <name val="Calibri"/>
      <family val="2"/>
      <scheme val="minor"/>
    </font>
    <font>
      <sz val="11"/>
      <color rgb="FF000000"/>
      <name val="Calibri"/>
      <family val="2"/>
      <charset val="1"/>
    </font>
    <font>
      <sz val="12"/>
      <color theme="1"/>
      <name val="Calibri"/>
      <family val="2"/>
      <scheme val="minor"/>
    </font>
    <font>
      <sz val="11"/>
      <color theme="1"/>
      <name val="Calibri"/>
      <family val="2"/>
    </font>
    <font>
      <sz val="10"/>
      <color rgb="FF6C6C6C"/>
      <name val="Calibri"/>
      <family val="2"/>
    </font>
    <font>
      <sz val="10"/>
      <color rgb="FFFF0000"/>
      <name val="Calibri"/>
      <family val="2"/>
      <charset val="1"/>
    </font>
    <font>
      <b/>
      <sz val="16"/>
      <color rgb="FFFFFFFF"/>
      <name val="Calibri"/>
      <family val="2"/>
    </font>
    <font>
      <b/>
      <sz val="11"/>
      <color rgb="FFFFFFFF"/>
      <name val="Calibri"/>
      <family val="2"/>
    </font>
  </fonts>
  <fills count="13">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4.9989318521683403E-2"/>
        <bgColor rgb="FFFFC000"/>
      </patternFill>
    </fill>
    <fill>
      <patternFill patternType="solid">
        <fgColor rgb="FFF2F2F2"/>
        <bgColor rgb="FF000000"/>
      </patternFill>
    </fill>
    <fill>
      <patternFill patternType="solid">
        <fgColor rgb="FFFFFF00"/>
        <bgColor indexed="64"/>
      </patternFill>
    </fill>
    <fill>
      <patternFill patternType="solid">
        <fgColor theme="0" tint="-4.9989318521683403E-2"/>
        <bgColor rgb="FF000000"/>
      </patternFill>
    </fill>
    <fill>
      <patternFill patternType="solid">
        <fgColor rgb="FF1F4E79"/>
        <bgColor rgb="FF1F4E79"/>
      </patternFill>
    </fill>
    <fill>
      <patternFill patternType="solid">
        <fgColor rgb="FF4472C4"/>
        <bgColor rgb="FF4472C4"/>
      </patternFill>
    </fill>
    <fill>
      <patternFill patternType="solid">
        <fgColor rgb="FFF2F2F2"/>
        <bgColor rgb="FFF2F2F2"/>
      </patternFill>
    </fill>
    <fill>
      <patternFill patternType="solid">
        <fgColor theme="4" tint="0.79998168889431442"/>
        <bgColor indexed="64"/>
      </patternFill>
    </fill>
    <fill>
      <patternFill patternType="solid">
        <fgColor rgb="FF0070C0"/>
        <bgColor indexed="64"/>
      </patternFill>
    </fill>
  </fills>
  <borders count="29">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right/>
      <top/>
      <bottom style="thin">
        <color theme="0"/>
      </bottom>
      <diagonal/>
    </border>
    <border>
      <left/>
      <right/>
      <top style="thin">
        <color theme="0"/>
      </top>
      <bottom/>
      <diagonal/>
    </border>
    <border>
      <left/>
      <right style="thin">
        <color theme="0"/>
      </right>
      <top style="thin">
        <color theme="0"/>
      </top>
      <bottom/>
      <diagonal/>
    </border>
    <border>
      <left/>
      <right/>
      <top style="thin">
        <color theme="0"/>
      </top>
      <bottom style="thin">
        <color theme="0"/>
      </bottom>
      <diagonal/>
    </border>
    <border>
      <left style="thin">
        <color theme="0"/>
      </left>
      <right/>
      <top/>
      <bottom/>
      <diagonal/>
    </border>
    <border>
      <left/>
      <right style="thin">
        <color theme="0"/>
      </right>
      <top/>
      <bottom/>
      <diagonal/>
    </border>
    <border>
      <left style="thin">
        <color theme="0"/>
      </left>
      <right style="thin">
        <color theme="0"/>
      </right>
      <top/>
      <bottom/>
      <diagonal/>
    </border>
    <border>
      <left style="thin">
        <color rgb="FFFFFFFF"/>
      </left>
      <right style="thin">
        <color rgb="FFFFFFFF"/>
      </right>
      <top style="thin">
        <color rgb="FFFFFFFF"/>
      </top>
      <bottom style="thin">
        <color rgb="FFFFFFFF"/>
      </bottom>
      <diagonal/>
    </border>
    <border>
      <left style="thin">
        <color theme="0"/>
      </left>
      <right/>
      <top/>
      <bottom style="thin">
        <color rgb="FFFFFFFF"/>
      </bottom>
      <diagonal/>
    </border>
    <border>
      <left/>
      <right/>
      <top/>
      <bottom style="thin">
        <color rgb="FFFFFFFF"/>
      </bottom>
      <diagonal/>
    </border>
    <border>
      <left/>
      <right style="thin">
        <color theme="0"/>
      </right>
      <top/>
      <bottom style="thin">
        <color rgb="FFFFFFFF"/>
      </bottom>
      <diagonal/>
    </border>
    <border>
      <left/>
      <right/>
      <top style="thin">
        <color rgb="FFFFFFFF"/>
      </top>
      <bottom style="thin">
        <color theme="0"/>
      </bottom>
      <diagonal/>
    </border>
    <border>
      <left/>
      <right style="thin">
        <color theme="0"/>
      </right>
      <top style="thin">
        <color rgb="FFFFFFFF"/>
      </top>
      <bottom style="thin">
        <color theme="0"/>
      </bottom>
      <diagonal/>
    </border>
    <border>
      <left/>
      <right/>
      <top style="thin">
        <color theme="0"/>
      </top>
      <bottom style="thin">
        <color rgb="FFFFFFFF"/>
      </bottom>
      <diagonal/>
    </border>
    <border>
      <left/>
      <right style="thin">
        <color theme="0"/>
      </right>
      <top style="thin">
        <color theme="0"/>
      </top>
      <bottom style="thin">
        <color rgb="FFFFFFFF"/>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theme="0"/>
      </left>
      <right style="thin">
        <color theme="0"/>
      </right>
      <top style="thin">
        <color theme="0"/>
      </top>
      <bottom style="thin">
        <color rgb="FFFFFFFF"/>
      </bottom>
      <diagonal/>
    </border>
    <border>
      <left style="thin">
        <color theme="0"/>
      </left>
      <right style="thin">
        <color theme="0"/>
      </right>
      <top style="thin">
        <color rgb="FFFFFFFF"/>
      </top>
      <bottom style="thin">
        <color theme="0"/>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3">
    <xf numFmtId="0" fontId="0" fillId="0" borderId="0"/>
    <xf numFmtId="9" fontId="3" fillId="0" borderId="0"/>
    <xf numFmtId="0" fontId="10" fillId="0" borderId="0"/>
  </cellStyleXfs>
  <cellXfs count="104">
    <xf numFmtId="0" fontId="0" fillId="0" borderId="0" xfId="0"/>
    <xf numFmtId="0" fontId="5" fillId="3" borderId="1" xfId="0" applyFont="1" applyFill="1" applyBorder="1" applyAlignment="1">
      <alignment horizontal="left" vertical="center" wrapText="1"/>
    </xf>
    <xf numFmtId="9" fontId="1" fillId="2" borderId="6" xfId="0" applyNumberFormat="1" applyFont="1" applyFill="1" applyBorder="1" applyAlignment="1">
      <alignment horizontal="center" vertical="center" wrapText="1"/>
    </xf>
    <xf numFmtId="0" fontId="5" fillId="3" borderId="1" xfId="0" applyFont="1" applyFill="1" applyBorder="1" applyAlignment="1">
      <alignment horizontal="center" vertical="center" wrapText="1"/>
    </xf>
    <xf numFmtId="164" fontId="5" fillId="3" borderId="1" xfId="0" applyNumberFormat="1" applyFont="1" applyFill="1" applyBorder="1" applyAlignment="1">
      <alignment horizontal="center" vertical="center" wrapText="1"/>
    </xf>
    <xf numFmtId="164" fontId="5" fillId="3" borderId="6" xfId="0" applyNumberFormat="1" applyFont="1" applyFill="1" applyBorder="1" applyAlignment="1">
      <alignment horizontal="center" vertical="center" wrapText="1"/>
    </xf>
    <xf numFmtId="9" fontId="1" fillId="2" borderId="1" xfId="0" applyNumberFormat="1" applyFont="1" applyFill="1" applyBorder="1" applyAlignment="1">
      <alignment horizontal="center" vertical="center" wrapText="1"/>
    </xf>
    <xf numFmtId="0" fontId="1" fillId="0" borderId="0" xfId="0" applyFont="1"/>
    <xf numFmtId="9" fontId="1" fillId="2" borderId="1" xfId="1" applyFont="1" applyFill="1" applyBorder="1" applyAlignment="1">
      <alignment horizontal="center" vertical="center" wrapText="1"/>
    </xf>
    <xf numFmtId="0" fontId="5" fillId="3" borderId="14" xfId="0" applyFont="1" applyFill="1" applyBorder="1" applyAlignment="1">
      <alignment horizontal="center" vertical="center" wrapText="1"/>
    </xf>
    <xf numFmtId="9" fontId="1" fillId="2" borderId="1" xfId="1" applyFont="1" applyFill="1" applyBorder="1" applyAlignment="1" applyProtection="1">
      <alignment horizontal="center" vertical="center"/>
      <protection locked="0"/>
    </xf>
    <xf numFmtId="0" fontId="1" fillId="6" borderId="1" xfId="1" applyNumberFormat="1" applyFont="1" applyFill="1" applyBorder="1" applyAlignment="1" applyProtection="1">
      <alignment horizontal="center" vertical="center"/>
      <protection locked="0"/>
    </xf>
    <xf numFmtId="0" fontId="16" fillId="9" borderId="27" xfId="0" applyFont="1" applyFill="1" applyBorder="1" applyAlignment="1">
      <alignment horizontal="center" vertical="center" wrapText="1"/>
    </xf>
    <xf numFmtId="0" fontId="0" fillId="10" borderId="27" xfId="0" applyFill="1" applyBorder="1" applyAlignment="1">
      <alignment horizontal="left" vertical="top" wrapText="1"/>
    </xf>
    <xf numFmtId="0" fontId="6" fillId="9" borderId="28" xfId="0" applyFont="1" applyFill="1" applyBorder="1" applyAlignment="1">
      <alignment horizontal="center" vertical="center" wrapText="1"/>
    </xf>
    <xf numFmtId="9" fontId="0" fillId="11" borderId="27" xfId="0" applyNumberFormat="1" applyFill="1" applyBorder="1"/>
    <xf numFmtId="0" fontId="0" fillId="11" borderId="27" xfId="0" applyFill="1" applyBorder="1"/>
    <xf numFmtId="0" fontId="6" fillId="9" borderId="27" xfId="0" applyFont="1" applyFill="1" applyBorder="1" applyAlignment="1">
      <alignment horizontal="center" vertical="center" wrapText="1"/>
    </xf>
    <xf numFmtId="9" fontId="0" fillId="0" borderId="0" xfId="0" applyNumberFormat="1"/>
    <xf numFmtId="0" fontId="15" fillId="8" borderId="0" xfId="0" applyFont="1" applyFill="1" applyAlignment="1">
      <alignment horizontal="center" vertical="center"/>
    </xf>
    <xf numFmtId="0" fontId="2" fillId="3" borderId="14" xfId="0" applyFont="1" applyFill="1" applyBorder="1" applyAlignment="1">
      <alignment horizontal="right" vertical="center" wrapText="1"/>
    </xf>
    <xf numFmtId="0" fontId="0" fillId="0" borderId="0" xfId="0"/>
    <xf numFmtId="0" fontId="0" fillId="0" borderId="13" xfId="0" applyBorder="1"/>
    <xf numFmtId="0" fontId="5" fillId="3" borderId="1" xfId="0" applyFont="1" applyFill="1" applyBorder="1" applyAlignment="1">
      <alignment horizontal="left" vertical="center" wrapText="1"/>
    </xf>
    <xf numFmtId="0" fontId="0" fillId="0" borderId="5" xfId="0" applyBorder="1"/>
    <xf numFmtId="0" fontId="0" fillId="2" borderId="6" xfId="0" applyFill="1" applyBorder="1" applyAlignment="1">
      <alignment horizontal="center" vertical="center" wrapText="1" readingOrder="2"/>
    </xf>
    <xf numFmtId="0" fontId="0" fillId="0" borderId="11" xfId="0" applyBorder="1"/>
    <xf numFmtId="0" fontId="2" fillId="3" borderId="5" xfId="0" applyFont="1" applyFill="1" applyBorder="1" applyAlignment="1">
      <alignment horizontal="right" vertical="center" wrapText="1"/>
    </xf>
    <xf numFmtId="0" fontId="7" fillId="2" borderId="6" xfId="0" applyFont="1" applyFill="1" applyBorder="1" applyAlignment="1">
      <alignment horizontal="center" vertical="center" wrapText="1" readingOrder="2"/>
    </xf>
    <xf numFmtId="0" fontId="5" fillId="3" borderId="7" xfId="0" applyFont="1" applyFill="1" applyBorder="1" applyAlignment="1">
      <alignment vertical="center" wrapText="1"/>
    </xf>
    <xf numFmtId="0" fontId="0" fillId="0" borderId="9" xfId="0" applyBorder="1"/>
    <xf numFmtId="0" fontId="0" fillId="0" borderId="10" xfId="0" applyBorder="1"/>
    <xf numFmtId="0" fontId="14" fillId="4" borderId="15" xfId="0" applyFont="1" applyFill="1" applyBorder="1" applyAlignment="1">
      <alignment horizontal="left" vertical="center" wrapText="1"/>
    </xf>
    <xf numFmtId="0" fontId="0" fillId="0" borderId="23" xfId="0" applyBorder="1"/>
    <xf numFmtId="0" fontId="0" fillId="0" borderId="24" xfId="0" applyBorder="1"/>
    <xf numFmtId="0" fontId="1" fillId="2" borderId="1" xfId="0" applyFont="1" applyFill="1" applyBorder="1" applyAlignment="1">
      <alignment horizontal="center" vertical="center" wrapText="1"/>
    </xf>
    <xf numFmtId="0" fontId="1" fillId="2" borderId="5" xfId="1" applyNumberFormat="1" applyFont="1" applyFill="1" applyBorder="1" applyAlignment="1">
      <alignment horizontal="center" vertical="center" wrapText="1" readingOrder="2"/>
    </xf>
    <xf numFmtId="0" fontId="1" fillId="2" borderId="5" xfId="0" applyFont="1" applyFill="1" applyBorder="1" applyAlignment="1">
      <alignment horizontal="center" vertical="center" wrapText="1"/>
    </xf>
    <xf numFmtId="0" fontId="7" fillId="2" borderId="5" xfId="0" applyFont="1" applyFill="1" applyBorder="1" applyAlignment="1">
      <alignment horizontal="center" vertical="center"/>
    </xf>
    <xf numFmtId="0" fontId="5" fillId="3" borderId="1" xfId="0" applyFont="1" applyFill="1" applyBorder="1" applyAlignment="1">
      <alignment vertical="center" wrapText="1"/>
    </xf>
    <xf numFmtId="0" fontId="1" fillId="2" borderId="1" xfId="0" applyFont="1" applyFill="1" applyBorder="1" applyAlignment="1">
      <alignment vertical="center" wrapText="1"/>
    </xf>
    <xf numFmtId="0" fontId="0" fillId="0" borderId="4" xfId="0" applyBorder="1"/>
    <xf numFmtId="0" fontId="0" fillId="0" borderId="8" xfId="0" applyBorder="1"/>
    <xf numFmtId="0" fontId="0" fillId="0" borderId="3" xfId="0" applyBorder="1"/>
    <xf numFmtId="0" fontId="4" fillId="12" borderId="1" xfId="0" applyFont="1" applyFill="1" applyBorder="1" applyAlignment="1">
      <alignment horizontal="center" vertical="center"/>
    </xf>
    <xf numFmtId="0" fontId="0" fillId="12" borderId="11" xfId="0" applyFill="1" applyBorder="1"/>
    <xf numFmtId="0" fontId="0" fillId="12" borderId="5" xfId="0" applyFill="1" applyBorder="1"/>
    <xf numFmtId="0" fontId="5" fillId="3" borderId="7" xfId="0" applyFont="1" applyFill="1" applyBorder="1" applyAlignment="1">
      <alignment horizontal="left" vertical="center" wrapText="1"/>
    </xf>
    <xf numFmtId="0" fontId="1" fillId="2" borderId="5" xfId="0" applyFont="1" applyFill="1" applyBorder="1" applyAlignment="1">
      <alignment horizontal="center" vertical="center" wrapText="1" readingOrder="2"/>
    </xf>
    <xf numFmtId="0" fontId="1" fillId="2" borderId="6" xfId="0" applyFont="1" applyFill="1" applyBorder="1" applyAlignment="1">
      <alignment horizontal="center" vertical="center" wrapText="1"/>
    </xf>
    <xf numFmtId="0" fontId="6" fillId="12" borderId="1" xfId="0" applyFont="1" applyFill="1" applyBorder="1" applyAlignment="1">
      <alignment horizontal="center" vertical="center"/>
    </xf>
    <xf numFmtId="0" fontId="2" fillId="3" borderId="2" xfId="0" applyFont="1" applyFill="1" applyBorder="1" applyAlignment="1">
      <alignment horizontal="right" vertical="center" wrapText="1"/>
    </xf>
    <xf numFmtId="0" fontId="13" fillId="5" borderId="24" xfId="0" applyFont="1" applyFill="1" applyBorder="1" applyAlignment="1">
      <alignment horizontal="center" vertical="center" wrapText="1" readingOrder="2"/>
    </xf>
    <xf numFmtId="0" fontId="2" fillId="3" borderId="7" xfId="0" applyFont="1" applyFill="1" applyBorder="1" applyAlignment="1">
      <alignment horizontal="right" vertical="center" wrapText="1" indent="1"/>
    </xf>
    <xf numFmtId="0" fontId="5" fillId="3" borderId="8" xfId="0" applyFont="1" applyFill="1" applyBorder="1" applyAlignment="1">
      <alignment horizontal="left" vertical="center" wrapText="1"/>
    </xf>
    <xf numFmtId="0" fontId="5" fillId="3" borderId="7" xfId="0" applyFont="1" applyFill="1" applyBorder="1" applyAlignment="1">
      <alignment horizontal="right" vertical="center" wrapText="1" indent="1"/>
    </xf>
    <xf numFmtId="0" fontId="1" fillId="2" borderId="11" xfId="0" applyFont="1" applyFill="1" applyBorder="1" applyAlignment="1">
      <alignment horizontal="center" vertical="center" wrapText="1"/>
    </xf>
    <xf numFmtId="0" fontId="0" fillId="0" borderId="11" xfId="0" applyBorder="1" applyAlignment="1">
      <alignment horizontal="center"/>
    </xf>
    <xf numFmtId="0" fontId="5" fillId="3" borderId="8" xfId="0" applyFont="1" applyFill="1" applyBorder="1" applyAlignment="1">
      <alignment horizontal="right" vertical="center" wrapText="1"/>
    </xf>
    <xf numFmtId="0" fontId="1" fillId="2" borderId="2" xfId="0" applyFont="1" applyFill="1" applyBorder="1" applyAlignment="1">
      <alignment horizontal="left" vertical="center" wrapText="1"/>
    </xf>
    <xf numFmtId="0" fontId="12" fillId="5" borderId="25" xfId="0" applyFont="1" applyFill="1" applyBorder="1" applyAlignment="1">
      <alignment vertical="center" wrapText="1" readingOrder="2"/>
    </xf>
    <xf numFmtId="0" fontId="0" fillId="0" borderId="21" xfId="0" applyBorder="1"/>
    <xf numFmtId="0" fontId="0" fillId="0" borderId="22" xfId="0" applyBorder="1"/>
    <xf numFmtId="0" fontId="1" fillId="2" borderId="26" xfId="0" applyFont="1" applyFill="1" applyBorder="1" applyAlignment="1">
      <alignment horizontal="right" vertical="center" wrapText="1"/>
    </xf>
    <xf numFmtId="0" fontId="0" fillId="0" borderId="19" xfId="0" applyBorder="1"/>
    <xf numFmtId="0" fontId="0" fillId="0" borderId="20" xfId="0" applyBorder="1"/>
    <xf numFmtId="0" fontId="5" fillId="3" borderId="2" xfId="0" applyFont="1" applyFill="1" applyBorder="1" applyAlignment="1">
      <alignment vertical="center" wrapText="1"/>
    </xf>
    <xf numFmtId="0" fontId="0" fillId="2" borderId="1" xfId="0" applyFill="1" applyBorder="1" applyAlignment="1">
      <alignment horizontal="right" vertical="center" wrapText="1" readingOrder="2"/>
    </xf>
    <xf numFmtId="0" fontId="1" fillId="2" borderId="6" xfId="0" applyFont="1" applyFill="1" applyBorder="1" applyAlignment="1">
      <alignment horizontal="left" vertical="center" wrapText="1"/>
    </xf>
    <xf numFmtId="0" fontId="2" fillId="3" borderId="1" xfId="0" applyFont="1" applyFill="1" applyBorder="1" applyAlignment="1">
      <alignment horizontal="right" vertical="center" wrapText="1"/>
    </xf>
    <xf numFmtId="0" fontId="1" fillId="2" borderId="1" xfId="0" applyFont="1" applyFill="1" applyBorder="1" applyAlignment="1">
      <alignment horizontal="right" vertical="center" wrapText="1"/>
    </xf>
    <xf numFmtId="0" fontId="0" fillId="0" borderId="5" xfId="0" applyBorder="1" applyAlignment="1">
      <alignment horizontal="right"/>
    </xf>
    <xf numFmtId="0" fontId="8" fillId="12" borderId="1" xfId="0" applyFont="1" applyFill="1" applyBorder="1" applyAlignment="1">
      <alignment horizontal="right" vertical="center"/>
    </xf>
    <xf numFmtId="0" fontId="5" fillId="2" borderId="1" xfId="0" applyFont="1" applyFill="1" applyBorder="1" applyAlignment="1">
      <alignment horizontal="center" vertical="center"/>
    </xf>
    <xf numFmtId="0" fontId="1" fillId="2" borderId="6" xfId="0" applyFont="1" applyFill="1" applyBorder="1" applyAlignment="1">
      <alignment horizontal="center" vertical="center"/>
    </xf>
    <xf numFmtId="0" fontId="12" fillId="7" borderId="25" xfId="0" applyFont="1" applyFill="1" applyBorder="1" applyAlignment="1">
      <alignment vertical="center" wrapText="1" readingOrder="2"/>
    </xf>
    <xf numFmtId="0" fontId="0" fillId="0" borderId="16" xfId="0" applyBorder="1"/>
    <xf numFmtId="0" fontId="0" fillId="0" borderId="17" xfId="0" applyBorder="1"/>
    <xf numFmtId="0" fontId="0" fillId="0" borderId="18" xfId="0" applyBorder="1"/>
    <xf numFmtId="0" fontId="1" fillId="2" borderId="1" xfId="0" applyFont="1" applyFill="1" applyBorder="1" applyAlignment="1">
      <alignment horizontal="left" vertical="center" wrapText="1"/>
    </xf>
    <xf numFmtId="0" fontId="0" fillId="2" borderId="5" xfId="0" applyFill="1" applyBorder="1" applyAlignment="1">
      <alignment horizontal="center" vertical="center" wrapText="1" readingOrder="2"/>
    </xf>
    <xf numFmtId="0" fontId="7" fillId="2" borderId="1" xfId="0" applyFont="1" applyFill="1" applyBorder="1" applyAlignment="1">
      <alignment vertical="center" wrapText="1" readingOrder="2"/>
    </xf>
    <xf numFmtId="0" fontId="5" fillId="3" borderId="2" xfId="0" applyFont="1" applyFill="1" applyBorder="1" applyAlignment="1">
      <alignment horizontal="left" vertical="center" wrapText="1"/>
    </xf>
    <xf numFmtId="9" fontId="1" fillId="2" borderId="1" xfId="0" applyNumberFormat="1" applyFont="1" applyFill="1" applyBorder="1" applyAlignment="1">
      <alignment horizontal="center" vertical="center" wrapText="1"/>
    </xf>
    <xf numFmtId="0" fontId="0" fillId="12" borderId="9" xfId="0" applyFill="1" applyBorder="1"/>
    <xf numFmtId="0" fontId="0" fillId="12" borderId="10" xfId="0" applyFill="1" applyBorder="1"/>
    <xf numFmtId="0" fontId="0" fillId="12" borderId="4" xfId="0" applyFill="1" applyBorder="1"/>
    <xf numFmtId="0" fontId="0" fillId="12" borderId="8" xfId="0" applyFill="1" applyBorder="1"/>
    <xf numFmtId="0" fontId="0" fillId="12" borderId="3" xfId="0" applyFill="1" applyBorder="1"/>
    <xf numFmtId="0" fontId="9" fillId="0" borderId="1" xfId="0" quotePrefix="1" applyFont="1" applyBorder="1" applyAlignment="1">
      <alignment horizontal="center" vertical="center"/>
    </xf>
    <xf numFmtId="0" fontId="0" fillId="0" borderId="12" xfId="0" applyBorder="1"/>
    <xf numFmtId="0" fontId="1" fillId="2" borderId="11" xfId="0" applyFont="1" applyFill="1" applyBorder="1" applyAlignment="1">
      <alignment horizontal="center" vertical="center" wrapText="1" readingOrder="2"/>
    </xf>
    <xf numFmtId="0" fontId="4" fillId="12" borderId="1" xfId="0" applyFont="1" applyFill="1" applyBorder="1" applyAlignment="1">
      <alignment horizontal="left" vertical="center"/>
    </xf>
    <xf numFmtId="0" fontId="11" fillId="2" borderId="5" xfId="0" applyFont="1" applyFill="1" applyBorder="1" applyAlignment="1">
      <alignment horizontal="center" vertical="center" wrapText="1"/>
    </xf>
    <xf numFmtId="0" fontId="0" fillId="2" borderId="11" xfId="0" applyFill="1" applyBorder="1" applyAlignment="1">
      <alignment horizontal="right" vertical="center" wrapText="1" readingOrder="2"/>
    </xf>
    <xf numFmtId="0" fontId="0" fillId="0" borderId="11" xfId="0" applyBorder="1" applyAlignment="1">
      <alignment horizontal="right"/>
    </xf>
    <xf numFmtId="0" fontId="2" fillId="3" borderId="2" xfId="0" applyFont="1" applyFill="1" applyBorder="1" applyAlignment="1">
      <alignment horizontal="right" vertical="center" wrapText="1" indent="1"/>
    </xf>
    <xf numFmtId="0" fontId="5" fillId="3" borderId="6" xfId="0" applyFont="1" applyFill="1" applyBorder="1" applyAlignment="1">
      <alignment horizontal="left" vertical="center" wrapText="1"/>
    </xf>
    <xf numFmtId="0" fontId="0" fillId="2" borderId="4" xfId="0" applyFill="1" applyBorder="1" applyAlignment="1">
      <alignment horizontal="center" vertical="center" wrapText="1"/>
    </xf>
    <xf numFmtId="0" fontId="5" fillId="3" borderId="2" xfId="0" applyFont="1" applyFill="1" applyBorder="1" applyAlignment="1">
      <alignment horizontal="right" vertical="center" wrapText="1" indent="1"/>
    </xf>
    <xf numFmtId="0" fontId="0" fillId="2" borderId="7" xfId="0" applyFill="1" applyBorder="1" applyAlignment="1">
      <alignment horizontal="right" vertical="center"/>
    </xf>
    <xf numFmtId="9" fontId="1" fillId="2" borderId="1" xfId="1" applyFont="1" applyFill="1" applyBorder="1" applyAlignment="1">
      <alignment horizontal="center" vertical="center" wrapText="1" readingOrder="2"/>
    </xf>
    <xf numFmtId="0" fontId="0" fillId="2" borderId="11" xfId="0" applyFill="1" applyBorder="1" applyAlignment="1">
      <alignment horizontal="right" vertical="center"/>
    </xf>
    <xf numFmtId="0" fontId="1" fillId="2" borderId="25" xfId="0" applyFont="1" applyFill="1" applyBorder="1" applyAlignment="1">
      <alignment horizontal="right" vertical="center" wrapText="1"/>
    </xf>
  </cellXfs>
  <cellStyles count="3">
    <cellStyle name="Normal" xfId="0" builtinId="0"/>
    <cellStyle name="Normal 2" xfId="2" xr:uid="{00000000-0005-0000-0000-00000300000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externalLink" Target="externalLinks/externalLink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3.xml"/><Relationship Id="rId10" Type="http://schemas.openxmlformats.org/officeDocument/2006/relationships/calcChain" Target="calcChain.xml"/><Relationship Id="rId4" Type="http://schemas.openxmlformats.org/officeDocument/2006/relationships/externalLink" Target="externalLinks/externalLink2.xml"/><Relationship Id="rId9" Type="http://schemas.openxmlformats.org/officeDocument/2006/relationships/sheetMetadata" Target="metadata.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tahakom-my.sharepoint.com/Users/ralsuliman/AppData/Roaming/Microsoft/Excel/SCWE%20Mastersheet%20December%202021%20(version%201).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0EB39357\THKM_CPMS_2021_Design%20Tool_FI_FPB.xlsx"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RecoveredExternalLink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LookUp"/>
      <sheetName val="SCWE KPIS"/>
      <sheetName val="L2.SCWE.01"/>
      <sheetName val="L2.SCWE.02"/>
      <sheetName val="L2.SCWE.03"/>
      <sheetName val="L2.SCWE.04"/>
      <sheetName val="L2.SCWE.05"/>
      <sheetName val="L2.SCWE.06"/>
      <sheetName val="L2.SCWE.07"/>
      <sheetName val="L2.SCWE.08"/>
      <sheetName val="L3.SCWE.FM.01"/>
      <sheetName val="L3.SCWE.FM.02"/>
      <sheetName val="L3.SCWE.FM.03"/>
      <sheetName val="L3.SCWE.FM.04"/>
      <sheetName val="L3.SCWE.FM.05"/>
      <sheetName val="L3.SCWE.FM.06"/>
      <sheetName val="L3.SCWE.FM.07"/>
      <sheetName val="L3.SCWE.AS.01"/>
      <sheetName val="L3.SCWE.AS.02"/>
      <sheetName val="L3.SCWE.AS.03"/>
      <sheetName val="L3.SCWE.AS.04"/>
      <sheetName val="L3.SCWE.AS.05"/>
      <sheetName val="L3.SCWE.AS.06"/>
      <sheetName val="L3.SCWE.MM.01"/>
      <sheetName val="L3.SCWE.MM.02"/>
      <sheetName val="L3.SCWE.MM.03"/>
      <sheetName val="L3.SCWE.MM.04"/>
      <sheetName val="L3.SCWE.MM.05"/>
      <sheetName val="L3.SCWE.MM.06"/>
      <sheetName val="L3.SCWE.PL.01"/>
      <sheetName val="L3.SCWE.PL.02"/>
      <sheetName val="L3.SCWE.PL.03"/>
      <sheetName val="L3.SCWE.PL.04"/>
      <sheetName val="L3.SCWE.PL.05"/>
      <sheetName val="L3.SCWE.PL.06"/>
      <sheetName val="SCWE Mastersheet December 2021 "/>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SHBOARD"/>
      <sheetName val="Level 3 - Phase 1"/>
      <sheetName val="Level 3- Phase 2 &amp; 3"/>
      <sheetName val="Level 4- Phase 3"/>
      <sheetName val="BSC-CEO&amp;FI"/>
      <sheetName val="Lookup"/>
      <sheetName val="THKM_CPMS_2021_Design Tool_FI_F"/>
    </sheetNames>
    <sheetDataSet>
      <sheetData sheetId="0"/>
      <sheetData sheetId="1"/>
      <sheetData sheetId="2"/>
      <sheetData sheetId="3"/>
      <sheetData sheetId="4"/>
      <sheetData sheetId="5"/>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UC_MASTER_SHEET"/>
      <sheetName val="Sheet2"/>
    </sheetNames>
    <sheetDataSet>
      <sheetData sheetId="0"/>
      <sheetData sheetId="1">
        <row r="2">
          <cell r="A2" t="str">
            <v>Identity Verification &amp; Info. Common</v>
          </cell>
        </row>
        <row r="3">
          <cell r="A3" t="str">
            <v>Identity Information Services Common</v>
          </cell>
        </row>
        <row r="4">
          <cell r="A4" t="str">
            <v>Tawtheeq Fingerprint</v>
          </cell>
        </row>
        <row r="5">
          <cell r="A5" t="str">
            <v>Digital Identity Verification Common</v>
          </cell>
        </row>
        <row r="6">
          <cell r="A6" t="str">
            <v>Tawtheeq Online</v>
          </cell>
        </row>
        <row r="7">
          <cell r="A7" t="str">
            <v>Tawtheeq OTP</v>
          </cell>
        </row>
        <row r="8">
          <cell r="A8" t="str">
            <v>National Address Verification</v>
          </cell>
        </row>
        <row r="9">
          <cell r="A9" t="str">
            <v>Traffic Violations Monitoring Common</v>
          </cell>
        </row>
        <row r="10">
          <cell r="A10" t="str">
            <v>Stationary Speed Vio. Monitoring Common</v>
          </cell>
        </row>
        <row r="11">
          <cell r="A11" t="str">
            <v>Fixed Speed Violations Monitoring</v>
          </cell>
        </row>
        <row r="12">
          <cell r="A12" t="str">
            <v>Portable Cabinet Speed Vio. Monitoring</v>
          </cell>
        </row>
        <row r="13">
          <cell r="A13" t="str">
            <v>Vehicle Contained Speed Vio. Monitoring</v>
          </cell>
        </row>
        <row r="14">
          <cell r="A14" t="str">
            <v>Tripod Speed Violations Monitoring</v>
          </cell>
        </row>
        <row r="15">
          <cell r="A15" t="str">
            <v>Point to Point Violations Monitoring</v>
          </cell>
        </row>
        <row r="16">
          <cell r="A16" t="str">
            <v>Vehicle Built-in Speed Vio. Monitoring</v>
          </cell>
        </row>
        <row r="17">
          <cell r="A17" t="str">
            <v>Redlight/Speed on Green Vio. Monitoring</v>
          </cell>
        </row>
        <row r="18">
          <cell r="A18" t="str">
            <v>Video Based Violations Monitoring Common</v>
          </cell>
        </row>
        <row r="19">
          <cell r="A19" t="str">
            <v>Lane Monitoring CCTV Systems</v>
          </cell>
        </row>
        <row r="20">
          <cell r="A20" t="str">
            <v>Illegal Turn CCTV Systems</v>
          </cell>
        </row>
        <row r="21">
          <cell r="A21" t="str">
            <v>Reglight CCTV Systems</v>
          </cell>
        </row>
        <row r="22">
          <cell r="A22" t="str">
            <v>Maham Traffic Violations Platform</v>
          </cell>
        </row>
        <row r="23">
          <cell r="A23" t="str">
            <v>Weighing Stations Common</v>
          </cell>
        </row>
        <row r="24">
          <cell r="A24" t="str">
            <v>Public Transport Violations</v>
          </cell>
        </row>
        <row r="25">
          <cell r="A25" t="str">
            <v>Business Lines Under Development Common</v>
          </cell>
        </row>
        <row r="26">
          <cell r="A26" t="str">
            <v>Driving School</v>
          </cell>
        </row>
        <row r="27">
          <cell r="A27" t="str">
            <v>Tawtheeq Facial Recognition</v>
          </cell>
        </row>
        <row r="28">
          <cell r="A28" t="str">
            <v>Tawtheeq Criminal Verification</v>
          </cell>
        </row>
        <row r="29">
          <cell r="A29" t="str">
            <v>Tawtheeq Notification</v>
          </cell>
        </row>
        <row r="30">
          <cell r="A30" t="str">
            <v>National Permits Platform</v>
          </cell>
        </row>
        <row r="31">
          <cell r="A31" t="str">
            <v>Plate Auction</v>
          </cell>
        </row>
        <row r="32">
          <cell r="A32" t="str">
            <v>Security Academy</v>
          </cell>
        </row>
        <row r="33">
          <cell r="A33" t="str">
            <v>Vehicle Impound</v>
          </cell>
        </row>
        <row r="34">
          <cell r="A34" t="str">
            <v>Vehicle Inspection</v>
          </cell>
        </row>
        <row r="35">
          <cell r="A35" t="str">
            <v>MOFA Visa Service Centre</v>
          </cell>
        </row>
        <row r="36">
          <cell r="A36" t="str">
            <v>National E Visa Platform</v>
          </cell>
        </row>
        <row r="37">
          <cell r="A37" t="str">
            <v>Road Safety Awareness</v>
          </cell>
        </row>
        <row r="38">
          <cell r="A38" t="str">
            <v>SMEs / Road Safety Knowledge Center</v>
          </cell>
        </row>
        <row r="39">
          <cell r="A39" t="str">
            <v>ATMS Delivery Enablement</v>
          </cell>
        </row>
        <row r="40">
          <cell r="A40" t="str">
            <v>Back Office Expansion</v>
          </cell>
        </row>
        <row r="41">
          <cell r="A41" t="str">
            <v>Business Process Reengineering (BPRTOM)</v>
          </cell>
        </row>
        <row r="42">
          <cell r="A42" t="str">
            <v>National Violations Platform (NIC Integration)</v>
          </cell>
        </row>
        <row r="43">
          <cell r="A43" t="str">
            <v>Data warehouse</v>
          </cell>
        </row>
        <row r="44">
          <cell r="A44" t="str">
            <v>Objections System</v>
          </cell>
        </row>
        <row r="45">
          <cell r="A45" t="str">
            <v>Geographical Information System  (GIS)</v>
          </cell>
        </row>
        <row r="46">
          <cell r="A46" t="str">
            <v>Operations Support System</v>
          </cell>
        </row>
        <row r="47">
          <cell r="A47" t="str">
            <v>Automated Vehicle Locator (AVL) and Alarm System (AMATAS)</v>
          </cell>
        </row>
        <row r="48">
          <cell r="A48" t="str">
            <v>Traffic Incidents Master Database</v>
          </cell>
        </row>
        <row r="49">
          <cell r="A49" t="str">
            <v>CCTV Video Analytics and Searching</v>
          </cell>
        </row>
        <row r="50">
          <cell r="A50" t="str">
            <v>VIM Expansion</v>
          </cell>
        </row>
        <row r="51">
          <cell r="A51" t="str">
            <v>Fixed Speed Expansion</v>
          </cell>
        </row>
        <row r="52">
          <cell r="A52" t="str">
            <v>Portable Speed Expansion (PCU/MS)</v>
          </cell>
        </row>
        <row r="53">
          <cell r="A53" t="str">
            <v>Red Light Enforcement Expansion</v>
          </cell>
        </row>
        <row r="54">
          <cell r="A54" t="str">
            <v>Restricted Area Monitoring (RAM)</v>
          </cell>
        </row>
        <row r="55">
          <cell r="A55" t="str">
            <v>Truck Exclusion (TE)</v>
          </cell>
        </row>
        <row r="56">
          <cell r="A56" t="str">
            <v>Altered Plate</v>
          </cell>
        </row>
        <row r="57">
          <cell r="A57" t="str">
            <v>System Implementation Initiatives (ERP)</v>
          </cell>
        </row>
        <row r="58">
          <cell r="A58" t="str">
            <v>Support Service</v>
          </cell>
        </row>
        <row r="59">
          <cell r="A59" t="str">
            <v>Other</v>
          </cell>
        </row>
      </sheetData>
    </sheetDataSet>
  </externalBook>
</externalLink>
</file>

<file path=xl/theme/theme1.xml><?xml version="1.0" encoding="utf-8"?>
<a:theme xmlns:a="http://schemas.openxmlformats.org/drawingml/2006/main" name="Theme1">
  <a:themeElements>
    <a:clrScheme name="Custom 1">
      <a:dk1>
        <a:srgbClr val="6C6C6C"/>
      </a:dk1>
      <a:lt1>
        <a:srgbClr val="FFFFFF"/>
      </a:lt1>
      <a:dk2>
        <a:srgbClr val="612550"/>
      </a:dk2>
      <a:lt2>
        <a:srgbClr val="3DBFB7"/>
      </a:lt2>
      <a:accent1>
        <a:srgbClr val="64C7C2"/>
      </a:accent1>
      <a:accent2>
        <a:srgbClr val="82CFCC"/>
      </a:accent2>
      <a:accent3>
        <a:srgbClr val="9ED8D7"/>
      </a:accent3>
      <a:accent4>
        <a:srgbClr val="693158"/>
      </a:accent4>
      <a:accent5>
        <a:srgbClr val="7C486C"/>
      </a:accent5>
      <a:accent6>
        <a:srgbClr val="7C486C"/>
      </a:accent6>
      <a:hlink>
        <a:srgbClr val="D3D3D3"/>
      </a:hlink>
      <a:folHlink>
        <a:srgbClr val="979797"/>
      </a:folHlink>
    </a:clrScheme>
    <a:fontScheme name="Office 2013 - 2022 Them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13 - 2022 Them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Theme22" id="{EB55378E-33AC-4DB5-8921-AA44F512EFEF}" vid="{7D9B88DF-3B75-4681-B0F6-916758228103}"/>
    </a:ext>
  </a:ext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8"/>
  <sheetViews>
    <sheetView topLeftCell="F1" zoomScale="98" zoomScaleNormal="85" workbookViewId="0">
      <selection activeCell="A4" sqref="A4"/>
    </sheetView>
  </sheetViews>
  <sheetFormatPr defaultRowHeight="14.25" x14ac:dyDescent="0.45"/>
  <cols>
    <col min="1" max="1" width="12" customWidth="1"/>
    <col min="2" max="2" width="25" customWidth="1"/>
    <col min="3" max="3" width="30" customWidth="1"/>
    <col min="4" max="4" width="30" hidden="1" customWidth="1"/>
    <col min="5" max="6" width="40" customWidth="1"/>
    <col min="7" max="7" width="20" customWidth="1"/>
    <col min="8" max="8" width="25" customWidth="1"/>
    <col min="9" max="9" width="15" customWidth="1"/>
    <col min="11" max="11" width="48.06640625" bestFit="1" customWidth="1"/>
  </cols>
  <sheetData>
    <row r="1" spans="1:12" ht="30" customHeight="1" x14ac:dyDescent="0.45">
      <c r="A1" s="19" t="s">
        <v>81</v>
      </c>
      <c r="B1" s="19"/>
      <c r="C1" s="19"/>
      <c r="D1" s="19"/>
      <c r="E1" s="19"/>
      <c r="F1" s="19"/>
      <c r="G1" s="19"/>
      <c r="H1" s="19"/>
      <c r="I1" s="19"/>
    </row>
    <row r="3" spans="1:12" ht="40.15" customHeight="1" x14ac:dyDescent="0.45">
      <c r="A3" s="12" t="s">
        <v>0</v>
      </c>
      <c r="B3" s="12" t="s">
        <v>1</v>
      </c>
      <c r="C3" s="12" t="s">
        <v>2</v>
      </c>
      <c r="D3" s="12" t="s">
        <v>3</v>
      </c>
      <c r="E3" s="12" t="s">
        <v>4</v>
      </c>
      <c r="F3" s="17" t="s">
        <v>83</v>
      </c>
      <c r="G3" s="12" t="s">
        <v>5</v>
      </c>
      <c r="H3" s="12" t="s">
        <v>6</v>
      </c>
      <c r="I3" s="12" t="s">
        <v>7</v>
      </c>
      <c r="J3" s="14" t="s">
        <v>56</v>
      </c>
      <c r="K3" s="14" t="s">
        <v>82</v>
      </c>
    </row>
    <row r="4" spans="1:12" ht="60" customHeight="1" x14ac:dyDescent="0.45">
      <c r="A4" s="13" t="str" cm="1">
        <f t="array" ref="A4">SheetNameByIndex(ROW()-2)</f>
        <v>KPI_104</v>
      </c>
      <c r="B4" s="13" t="str" cm="1">
        <f t="array" ref="B4">GetCellValueFromSheet(ROW()-2, "D7")</f>
        <v>Activating governance of the strategic role of the Human Capital Sector to enhance institutional leadership</v>
      </c>
      <c r="C4" s="13" t="str" cm="1">
        <f t="array" ref="C4">GetCellValueFromSheet(ROW()-2, "H8")</f>
        <v>Strategic Initiative completion rate for actions implemented in 2025</v>
      </c>
      <c r="D4" s="13" t="str" cm="1">
        <f t="array" ref="D4">GetCellValueFromSheet(ROW()-2, "N8")</f>
        <v>نسبة الإنجاز من المبادرات الإستراتيجية التي تم تنفيذها خلال سنة 2025</v>
      </c>
      <c r="E4" s="13" t="str" cm="1">
        <f t="array" ref="E4">GetCellValueFromSheet(ROW()-2, "D11")</f>
        <v>Measures the adherence to strategic initiative completion plan</v>
      </c>
      <c r="F4" s="13" t="str" cm="1">
        <f t="array" ref="F4">GetCellValueFromSheet(ROW()-2, "D13")</f>
        <v>Actual Completion Rate / Planned Completion Rate</v>
      </c>
      <c r="G4" s="13" t="str" cm="1">
        <f t="array" ref="G4">GetCellValueFromSheet(ROW()-2, "D14")</f>
        <v>KPI/Initiative ID, Achivement/Completion Rate</v>
      </c>
      <c r="H4" s="13" t="str" cm="1">
        <f t="array" ref="H4">GetCellValueFromSheet(ROW()-2, "D18")</f>
        <v>The department is requesting to split the initiatives/KPIs into two KPIs, strategic and non-strategic</v>
      </c>
      <c r="I4" s="13" t="str" cm="1">
        <f t="array" ref="I4">GetCellValueFromSheet(ROW()-2, "N1")</f>
        <v>New KPI</v>
      </c>
      <c r="J4" s="15" cm="1">
        <f t="array" ref="J4">GetCellValueFromSheet(ROW()-2, "L16")</f>
        <v>0.2</v>
      </c>
      <c r="K4" s="16" t="str" cm="1">
        <f t="array" ref="K4">GetCellValueFromSheet(ROW()-2, "M24")</f>
        <v>90% and above</v>
      </c>
    </row>
    <row r="5" spans="1:12" ht="60" customHeight="1" x14ac:dyDescent="0.45">
      <c r="A5" s="13" t="str" cm="1">
        <f t="array" ref="A5">SheetNameByIndex(ROW()-2)</f>
        <v>KPI_999</v>
      </c>
      <c r="B5" s="13" t="str" cm="1">
        <f t="array" ref="B5">GetCellValueFromSheet(ROW()-2, "D7")</f>
        <v>Activating governance of the strategic role of the Human Capital Sector to enhance institutional leadership</v>
      </c>
      <c r="C5" s="13" t="str" cm="1">
        <f t="array" ref="C5">GetCellValueFromSheet(ROW()-2, "H8")</f>
        <v>Non Strategic Initiative completion rate for actions implemented in 2025</v>
      </c>
      <c r="D5" s="13" t="str" cm="1">
        <f t="array" ref="D5">GetCellValueFromSheet(ROW()-2, "N8")</f>
        <v>معدل إنجاز المبادرات غير الاستراتيجية للإجراءات المنفذة في عام 2025</v>
      </c>
      <c r="E5" s="13" t="str" cm="1">
        <f t="array" ref="E5">GetCellValueFromSheet(ROW()-2, "D11")</f>
        <v>Measures the adherence to non-strategic initiative completion plan</v>
      </c>
      <c r="F5" s="13" t="str" cm="1">
        <f t="array" ref="F5">GetCellValueFromSheet(ROW()-2, "D13")</f>
        <v>Actual Completion Rate / Planned Completion Rate</v>
      </c>
      <c r="G5" s="13" t="str" cm="1">
        <f t="array" ref="G5">GetCellValueFromSheet(ROW()-2, "D14")</f>
        <v>KPI/Initiative ID, Achivement/Completion Rate</v>
      </c>
      <c r="H5" s="13" t="str" cm="1">
        <f t="array" ref="H5">GetCellValueFromSheet(ROW()-2, "D18")</f>
        <v>The department is requesting to split the initiatives/KPIs into two KPIs, strategic and non-strategic</v>
      </c>
      <c r="I5" s="13" t="str" cm="1">
        <f t="array" ref="I5">GetCellValueFromSheet(ROW()-2, "N1")</f>
        <v>New KPI</v>
      </c>
      <c r="J5" s="15" cm="1">
        <f t="array" ref="J5">GetCellValueFromSheet(ROW()-2, "L16")</f>
        <v>0.05</v>
      </c>
      <c r="K5" s="16" t="str" cm="1">
        <f t="array" ref="K5">GetCellValueFromSheet(ROW()-2, "M24")</f>
        <v>90% and above</v>
      </c>
    </row>
    <row r="6" spans="1:12" ht="60" customHeight="1" x14ac:dyDescent="0.45">
      <c r="A6" s="13" t="str" cm="1">
        <f t="array" ref="A6">SheetNameByIndex(ROW()-2)</f>
        <v>KPI_105</v>
      </c>
      <c r="B6" s="13" t="str" cm="1">
        <f t="array" ref="B6">GetCellValueFromSheet(ROW()-2, "D7")</f>
        <v>Activating governance of the strategic role of the Human Capital Sector to enhance institutional leadership</v>
      </c>
      <c r="C6" s="13" t="str" cm="1">
        <f t="array" ref="C6">GetCellValueFromSheet(ROW()-2, "H8")</f>
        <v>Monthly performance level reporting</v>
      </c>
      <c r="D6" s="13" t="str" cm="1">
        <f t="array" ref="D6">GetCellValueFromSheet(ROW()-2, "N8")</f>
        <v>تقارير شهرية بمستويات الأداء</v>
      </c>
      <c r="E6" s="13" t="str" cm="1">
        <f t="array" ref="E6">GetCellValueFromSheet(ROW()-2, "D11")</f>
        <v>Refers to the preparation and publishing of monthly reports reflecting actual performance vs. targets</v>
      </c>
      <c r="F6" s="13" t="str" cm="1">
        <f t="array" ref="F6">GetCellValueFromSheet(ROW()-2, "D13")</f>
        <v>Performance Reports published on time / Number of planned performance reports</v>
      </c>
      <c r="G6" s="13" t="str" cm="1">
        <f t="array" ref="G6">GetCellValueFromSheet(ROW()-2, "D14")</f>
        <v>Report ID, Planned Publish Date, Actual Publish Date</v>
      </c>
      <c r="H6" s="13" cm="1">
        <f t="array" ref="H6">GetCellValueFromSheet(ROW()-2, "D18")</f>
        <v>0</v>
      </c>
      <c r="I6" s="13" t="str" cm="1">
        <f t="array" ref="I6">GetCellValueFromSheet(ROW()-2, "N1")</f>
        <v>New KPI</v>
      </c>
      <c r="J6" s="15" cm="1">
        <f t="array" ref="J6">GetCellValueFromSheet(ROW()-2, "L16")</f>
        <v>0.2</v>
      </c>
      <c r="K6" s="16" t="str" cm="1">
        <f t="array" ref="K6">GetCellValueFromSheet(ROW()-2, "M24")</f>
        <v>100%</v>
      </c>
    </row>
    <row r="7" spans="1:12" ht="60" customHeight="1" x14ac:dyDescent="0.45">
      <c r="A7" s="13" t="str" cm="1">
        <f t="array" ref="A7">SheetNameByIndex(ROW()-2)</f>
        <v>KPI_106</v>
      </c>
      <c r="B7" s="13" t="str" cm="1">
        <f t="array" ref="B7">GetCellValueFromSheet(ROW()-2, "D7")</f>
        <v>Activating governance of the strategic role of the Human Capital Sector to enhance institutional leadership</v>
      </c>
      <c r="C7" s="13" t="str" cm="1">
        <f t="array" ref="C7">GetCellValueFromSheet(ROW()-2, "H8")</f>
        <v>Percentage of alignment between strategic planning and achieved targets</v>
      </c>
      <c r="D7" s="13" t="str" cm="1">
        <f t="array" ref="D7">GetCellValueFromSheet(ROW()-2, "N8")</f>
        <v>نسبة موائمة التخطيط الاستراتيجي بالمستهدفات المحققة</v>
      </c>
      <c r="E7" s="13" t="str" cm="1">
        <f t="array" ref="E7">GetCellValueFromSheet(ROW()-2, "D11")</f>
        <v>Measures alignment of achieved goals with strategic planning</v>
      </c>
      <c r="F7" s="13" t="str" cm="1">
        <f t="array" ref="F7">GetCellValueFromSheet(ROW()-2, "D13")</f>
        <v>(Number of achieved targets / Total planned targets) × 100</v>
      </c>
      <c r="G7" s="13" t="str" cm="1">
        <f t="array" ref="G7">GetCellValueFromSheet(ROW()-2, "D14")</f>
        <v>Target ID, Achievement, Planned Target</v>
      </c>
      <c r="H7" s="13" t="str" cm="1">
        <f t="array" ref="H7">GetCellValueFromSheet(ROW()-2, "D18")</f>
        <v>This KPI measurtes the linkage between the corporate objectives vs the individual employee objectives across NWC</v>
      </c>
      <c r="I7" s="13" t="str" cm="1">
        <f t="array" ref="I7">GetCellValueFromSheet(ROW()-2, "N1")</f>
        <v>To be Removed</v>
      </c>
      <c r="J7" s="15" cm="1">
        <f t="array" ref="J7">GetCellValueFromSheet(ROW()-2, "L16")</f>
        <v>0</v>
      </c>
      <c r="K7" s="16" t="str" cm="1">
        <f t="array" ref="K7">GetCellValueFromSheet(ROW()-2, "M24")</f>
        <v>85% and above</v>
      </c>
    </row>
    <row r="8" spans="1:12" ht="60" customHeight="1" x14ac:dyDescent="0.45">
      <c r="A8" s="13" t="str" cm="1">
        <f t="array" ref="A8">SheetNameByIndex(ROW()-2)</f>
        <v>KPI_107</v>
      </c>
      <c r="B8" s="13" t="str" cm="1">
        <f t="array" ref="B8">GetCellValueFromSheet(ROW()-2, "D7")</f>
        <v>Activating governance of the strategic role of the Human Capital Sector to enhance institutional leadership</v>
      </c>
      <c r="C8" s="13" t="str" cm="1">
        <f t="array" ref="C8">GetCellValueFromSheet(ROW()-2, "H8")</f>
        <v>Percentage of reports submitted on time</v>
      </c>
      <c r="D8" s="13" t="str" cm="1">
        <f t="array" ref="D8">GetCellValueFromSheet(ROW()-2, "N8")</f>
        <v>نسبة التقارير المسلَّمة في الوقت المحدد</v>
      </c>
      <c r="E8" s="13" t="str" cm="1">
        <f t="array" ref="E8">GetCellValueFromSheet(ROW()-2, "D11")</f>
        <v>Measuring the adherence to deadlines for issuing periodic reports (weekly and monthly).</v>
      </c>
      <c r="F8" s="13" t="str" cm="1">
        <f t="array" ref="F8">GetCellValueFromSheet(ROW()-2, "D13")</f>
        <v>(Number of reports delivered on time ÷ Total required reports) × 100</v>
      </c>
      <c r="G8" s="13" t="str" cm="1">
        <f t="array" ref="G8">GetCellValueFromSheet(ROW()-2, "D14")</f>
        <v>N/A</v>
      </c>
      <c r="H8" s="13" t="str" cm="1">
        <f t="array" ref="H8">GetCellValueFromSheet(ROW()-2, "D18")</f>
        <v>This is a duplicate KP, similar to KPI_111</v>
      </c>
      <c r="I8" s="13" t="str" cm="1">
        <f t="array" ref="I8">GetCellValueFromSheet(ROW()-2, "N1")</f>
        <v>To be Deleted</v>
      </c>
      <c r="J8" s="15" cm="1">
        <f t="array" ref="J8">GetCellValueFromSheet(ROW()-2, "L16")</f>
        <v>0</v>
      </c>
      <c r="K8" s="16" t="str" cm="1">
        <f t="array" ref="K8">GetCellValueFromSheet(ROW()-2, "M24")</f>
        <v>≥ 95%</v>
      </c>
    </row>
    <row r="9" spans="1:12" ht="60" customHeight="1" x14ac:dyDescent="0.45">
      <c r="A9" s="13" t="str" cm="1">
        <f t="array" ref="A9">SheetNameByIndex(ROW()-2)</f>
        <v>KPI_108</v>
      </c>
      <c r="B9" s="13" t="str" cm="1">
        <f t="array" ref="B9">GetCellValueFromSheet(ROW()-2, "D7")</f>
        <v>Activating governance of the strategic role of the Human Capital Sector to enhance institutional leadership</v>
      </c>
      <c r="C9" s="13" t="str" cm="1">
        <f t="array" ref="C9">GetCellValueFromSheet(ROW()-2, "H8")</f>
        <v>Percentage of  reports without corrective comments</v>
      </c>
      <c r="D9" s="13" t="str" cm="1">
        <f t="array" ref="D9">GetCellValueFromSheet(ROW()-2, "N8")</f>
        <v>نسبة التقارير المعتمدة بدون ملاحظات تصحيحية</v>
      </c>
      <c r="E9" s="13" t="str" cm="1">
        <f t="array" ref="E9">GetCellValueFromSheet(ROW()-2, "D11")</f>
        <v>Measures report quality — reports  without rework due to errors or feedback</v>
      </c>
      <c r="F9" s="13" t="str" cm="1">
        <f t="array" ref="F9">GetCellValueFromSheet(ROW()-2, "D13")</f>
        <v>(Number of reports  without comments ÷ Total submitted reports) × 100</v>
      </c>
      <c r="G9" s="13" t="str" cm="1">
        <f t="array" ref="G9">GetCellValueFromSheet(ROW()-2, "D14")</f>
        <v>Report ID,Comment Type, Comment(Y/N), Reason</v>
      </c>
      <c r="H9" s="13" t="str" cm="1">
        <f t="array" ref="H9">GetCellValueFromSheet(ROW()-2, "D18")</f>
        <v>Enhancement requests are to be removed from the calculation</v>
      </c>
      <c r="I9" s="13" t="str" cm="1">
        <f t="array" ref="I9">GetCellValueFromSheet(ROW()-2, "N1")</f>
        <v>New KPI</v>
      </c>
      <c r="J9" s="15" cm="1">
        <f t="array" ref="J9">GetCellValueFromSheet(ROW()-2, "L16")</f>
        <v>0.05</v>
      </c>
      <c r="K9" s="16" t="str" cm="1">
        <f t="array" ref="K9">GetCellValueFromSheet(ROW()-2, "M24")</f>
        <v>≥ 90%</v>
      </c>
    </row>
    <row r="10" spans="1:12" ht="60" customHeight="1" x14ac:dyDescent="0.45">
      <c r="A10" s="13" t="str" cm="1">
        <f t="array" ref="A10">SheetNameByIndex(ROW()-2)</f>
        <v>KPI_109</v>
      </c>
      <c r="B10" s="13" t="str" cm="1">
        <f t="array" ref="B10">GetCellValueFromSheet(ROW()-2, "D7")</f>
        <v>Activating governance of the strategic role of the Human Capital Sector to enhance institutional leadership</v>
      </c>
      <c r="C10" s="13" t="str" cm="1">
        <f t="array" ref="C10">GetCellValueFromSheet(ROW()-2, "H8")</f>
        <v>Average report preparation time</v>
      </c>
      <c r="D10" s="13" t="str" cm="1">
        <f t="array" ref="D10">GetCellValueFromSheet(ROW()-2, "N8")</f>
        <v>متوسط وقت إعداد التقرير</v>
      </c>
      <c r="E10" s="13" t="str" cm="1">
        <f t="array" ref="E10">GetCellValueFromSheet(ROW()-2, "D11")</f>
        <v>Average time taken to prepare a report from data collection to delivery</v>
      </c>
      <c r="F10" s="13" t="str" cm="1">
        <f t="array" ref="F10">GetCellValueFromSheet(ROW()-2, "D13")</f>
        <v>(Total days used to prepare all reports ÷ Number of reports)</v>
      </c>
      <c r="G10" s="13" t="str" cm="1">
        <f t="array" ref="G10">GetCellValueFromSheet(ROW()-2, "D14")</f>
        <v>Report ID, Report Type, Start Date, End Date</v>
      </c>
      <c r="H10" s="13" cm="1">
        <f t="array" ref="H10">GetCellValueFromSheet(ROW()-2, "D18")</f>
        <v>0</v>
      </c>
      <c r="I10" s="13" t="str" cm="1">
        <f t="array" ref="I10">GetCellValueFromSheet(ROW()-2, "N1")</f>
        <v>New KPI</v>
      </c>
      <c r="J10" s="15" cm="1">
        <f t="array" ref="J10">GetCellValueFromSheet(ROW()-2, "L16")</f>
        <v>0.05</v>
      </c>
      <c r="K10" s="16" t="str" cm="1">
        <f t="array" ref="K10">GetCellValueFromSheet(ROW()-2, "M24")</f>
        <v>For weekly reports: ≤ 2 days; for monthly reports: ≤ 5 days</v>
      </c>
      <c r="L10" t="s">
        <v>85</v>
      </c>
    </row>
    <row r="11" spans="1:12" ht="60" customHeight="1" x14ac:dyDescent="0.45">
      <c r="A11" s="13" t="str" cm="1">
        <f t="array" ref="A11">SheetNameByIndex(ROW()-2)</f>
        <v>KPI_110</v>
      </c>
      <c r="B11" s="13" t="str" cm="1">
        <f t="array" ref="B11">GetCellValueFromSheet(ROW()-2, "D7")</f>
        <v>Activating governance of the strategic role of the Human Capital Sector to enhance institutional leadership</v>
      </c>
      <c r="C11" s="13" t="str" cm="1">
        <f t="array" ref="C11">GetCellValueFromSheet(ROW()-2, "H8")</f>
        <v>Stakeholder satisfaction rate with strategic reports</v>
      </c>
      <c r="D11" s="13" t="str" cm="1">
        <f t="array" ref="D11">GetCellValueFromSheet(ROW()-2, "N8")</f>
        <v>معدل رضا أصحاب العلاقة عن التقارير الاستراتيجية</v>
      </c>
      <c r="E11" s="13" t="str" cm="1">
        <f t="array" ref="E11">GetCellValueFromSheet(ROW()-2, "D11")</f>
        <v>Measures satisfaction of report recipients (department heads) with accuracy and quality</v>
      </c>
      <c r="F11" s="13" t="str" cm="1">
        <f t="array" ref="F11">GetCellValueFromSheet(ROW()-2, "D13")</f>
        <v>(Total satisfaction score ÷ Number of responses) × 100</v>
      </c>
      <c r="G11" s="13" t="str" cm="1">
        <f t="array" ref="G11">GetCellValueFromSheet(ROW()-2, "D14")</f>
        <v>Report ID, Employee ID, Score</v>
      </c>
      <c r="H11" s="13" t="str" cm="1">
        <f t="array" ref="H11">GetCellValueFromSheet(ROW()-2, "D18")</f>
        <v xml:space="preserve">Employee ID Indicate the ID of the report audience
 </v>
      </c>
      <c r="I11" s="13" t="str" cm="1">
        <f t="array" ref="I11">GetCellValueFromSheet(ROW()-2, "N1")</f>
        <v>New KPI</v>
      </c>
      <c r="J11" s="15" cm="1">
        <f t="array" ref="J11">GetCellValueFromSheet(ROW()-2, "L16")</f>
        <v>0.1</v>
      </c>
      <c r="K11" s="16" t="str" cm="1">
        <f t="array" ref="K11">GetCellValueFromSheet(ROW()-2, "M24")</f>
        <v>≥ 85%</v>
      </c>
    </row>
    <row r="12" spans="1:12" ht="60" customHeight="1" x14ac:dyDescent="0.45">
      <c r="A12" s="13" t="str" cm="1">
        <f t="array" ref="A12">SheetNameByIndex(ROW()-2)</f>
        <v>KPI_111</v>
      </c>
      <c r="B12" s="13" t="str" cm="1">
        <f t="array" ref="B12">GetCellValueFromSheet(ROW()-2, "D7")</f>
        <v>Activating governance of the strategic role of the Human Capital Sector to enhance institutional leadership</v>
      </c>
      <c r="C12" s="13" t="str" cm="1">
        <f t="array" ref="C12">GetCellValueFromSheet(ROW()-2, "H8")</f>
        <v>Adherence rate to reporting periodicity</v>
      </c>
      <c r="D12" s="13" t="str" cm="1">
        <f t="array" ref="D12">GetCellValueFromSheet(ROW()-2, "N8")</f>
        <v>نسبة الالتزام بدورية التقارير</v>
      </c>
      <c r="E12" s="13" t="str" cm="1">
        <f t="array" ref="E12">GetCellValueFromSheet(ROW()-2, "D11")</f>
        <v>Measures regularity of report issuance based on the planned schedule</v>
      </c>
      <c r="F12" s="13" t="str" cm="1">
        <f t="array" ref="F12">GetCellValueFromSheet(ROW()-2, "D13")</f>
        <v>(Number of reports issued on schedule ÷ Total planned reports) × 100</v>
      </c>
      <c r="G12" s="13" t="str" cm="1">
        <f t="array" ref="G12">GetCellValueFromSheet(ROW()-2, "D14")</f>
        <v>Report ID, Report Type, Start Date, End Date</v>
      </c>
      <c r="H12" s="13" cm="1">
        <f t="array" ref="H12">GetCellValueFromSheet(ROW()-2, "D18")</f>
        <v>0</v>
      </c>
      <c r="I12" s="13" t="str" cm="1">
        <f t="array" ref="I12">GetCellValueFromSheet(ROW()-2, "N1")</f>
        <v>New KPI</v>
      </c>
      <c r="J12" s="15" cm="1">
        <f t="array" ref="J12">GetCellValueFromSheet(ROW()-2, "L16")</f>
        <v>0.14000000000000001</v>
      </c>
      <c r="K12" s="16" t="str" cm="1">
        <f t="array" ref="K12">GetCellValueFromSheet(ROW()-2, "M24")</f>
        <v>≥ 95%</v>
      </c>
      <c r="L12" s="18">
        <v>0.9</v>
      </c>
    </row>
    <row r="13" spans="1:12" ht="60" customHeight="1" x14ac:dyDescent="0.45">
      <c r="A13" s="13" t="str" cm="1">
        <f t="array" ref="A13">SheetNameByIndex(ROW()-2)</f>
        <v>KPI_112</v>
      </c>
      <c r="B13" s="13" t="str" cm="1">
        <f t="array" ref="B13">GetCellValueFromSheet(ROW()-2, "D7")</f>
        <v>Activating governance of the strategic role of the Human Capital Sector to enhance institutional leadership</v>
      </c>
      <c r="C13" s="13" t="str" cm="1">
        <f t="array" ref="C13">GetCellValueFromSheet(ROW()-2, "H8")</f>
        <v>Alignment rate between strategic operational KPIs and departmental operational KPIs</v>
      </c>
      <c r="D13" s="13" t="str" cm="1">
        <f t="array" ref="D13">GetCellValueFromSheet(ROW()-2, "N8")</f>
        <v>معدل المواءمة بين مؤشرات الأداء التشغيلية الاستراتيجية ومؤشرات الأداء التشغيلية على مستوى الإدارات</v>
      </c>
      <c r="E13" s="13" t="str" cm="1">
        <f t="array" ref="E13">GetCellValueFromSheet(ROW()-2, "D11")</f>
        <v>Measures alignment of strategic operational (from corporate strategy department) KPIs with departmental operational KPIs</v>
      </c>
      <c r="F13" s="13" t="str" cm="1">
        <f t="array" ref="F13">GetCellValueFromSheet(ROW()-2, "D13")</f>
        <v>(Number of aligned departmental operational KPIs / Number of departmental operational KPIs)</v>
      </c>
      <c r="G13" s="13" t="str" cm="1">
        <f t="array" ref="G13">GetCellValueFromSheet(ROW()-2, "D14")</f>
        <v>KPI ID, Aligned (Y/N)</v>
      </c>
      <c r="H13" s="13" t="str" cm="1">
        <f t="array" ref="H13">GetCellValueFromSheet(ROW()-2, "D18")</f>
        <v>This KPI measures the alingment between the Department Operational KPIs and Corporate KPIs</v>
      </c>
      <c r="I13" s="13" t="str" cm="1">
        <f t="array" ref="I13">GetCellValueFromSheet(ROW()-2, "N1")</f>
        <v>New KPI</v>
      </c>
      <c r="J13" s="15" cm="1">
        <f t="array" ref="J13">GetCellValueFromSheet(ROW()-2, "L16")</f>
        <v>0.15</v>
      </c>
      <c r="K13" s="16" t="str" cm="1">
        <f t="array" ref="K13">GetCellValueFromSheet(ROW()-2, "M24")</f>
        <v>≥ 50%</v>
      </c>
    </row>
    <row r="14" spans="1:12" ht="60" customHeight="1" x14ac:dyDescent="0.45">
      <c r="A14" s="13" t="str" cm="1">
        <f t="array" ref="A14">SheetNameByIndex(ROW()-2)</f>
        <v>KPI_113</v>
      </c>
      <c r="B14" s="13" t="str" cm="1">
        <f t="array" ref="B14">GetCellValueFromSheet(ROW()-2, "D7")</f>
        <v>Activating governance of the strategic role of the Human Capital Sector to enhance institutional leadership</v>
      </c>
      <c r="C14" s="13" t="str" cm="1">
        <f t="array" ref="C14">GetCellValueFromSheet(ROW()-2, "H8")</f>
        <v>Compliance rate with indicators according to the strategic scorecard</v>
      </c>
      <c r="D14" s="13" t="str" cm="1">
        <f t="array" ref="D14">GetCellValueFromSheet(ROW()-2, "N8")</f>
        <v xml:space="preserve">نسبة الالتزام بالمؤشرات حسب البطاقة الاستراتيجية </v>
      </c>
      <c r="E14" s="13" t="str" cm="1">
        <f t="array" ref="E14">GetCellValueFromSheet(ROW()-2, "D11")</f>
        <v>Measures indicator consistency to ensure strategy implementation</v>
      </c>
      <c r="F14" s="13" t="str" cm="1">
        <f t="array" ref="F14">GetCellValueFromSheet(ROW()-2, "D13")</f>
        <v>(Number of committed indicators ÷ Total indicators) × 100</v>
      </c>
      <c r="G14" s="13" t="str" cm="1">
        <f t="array" ref="G14">GetCellValueFromSheet(ROW()-2, "D14")</f>
        <v>Month, KPI ID, Achievement, Target</v>
      </c>
      <c r="H14" s="13" t="str" cm="1">
        <f t="array" ref="H14">GetCellValueFromSheet(ROW()-2, "D18")</f>
        <v>This is a duplication of 112</v>
      </c>
      <c r="I14" s="13" t="str" cm="1">
        <f t="array" ref="I14">GetCellValueFromSheet(ROW()-2, "N1")</f>
        <v>To be Deleted</v>
      </c>
      <c r="J14" s="15" cm="1">
        <f t="array" ref="J14">GetCellValueFromSheet(ROW()-2, "L16")</f>
        <v>0</v>
      </c>
      <c r="K14" s="16" t="str" cm="1">
        <f t="array" ref="K14">GetCellValueFromSheet(ROW()-2, "M24")</f>
        <v>1</v>
      </c>
    </row>
    <row r="15" spans="1:12" ht="60" customHeight="1" x14ac:dyDescent="0.45">
      <c r="A15" s="13" t="str" cm="1">
        <f t="array" ref="A15">SheetNameByIndex(ROW()-2)</f>
        <v>KPI_114</v>
      </c>
      <c r="B15" s="13" t="str" cm="1">
        <f t="array" ref="B15">GetCellValueFromSheet(ROW()-2, "D7")</f>
        <v>Activating governance of the strategic role of the Human Capital Sector to enhance institutional leadership</v>
      </c>
      <c r="C15" s="13" t="str" cm="1">
        <f t="array" ref="C15">GetCellValueFromSheet(ROW()-2, "H8")</f>
        <v>Market and Research Indicators: Timely acquisition of market information</v>
      </c>
      <c r="D15" s="13" t="str" cm="1">
        <f t="array" ref="D15">GetCellValueFromSheet(ROW()-2, "N8")</f>
        <v>مؤشرات السوق و الدراسات السوقية : نسبة الحصول على معلومات السوق في الوقت المحدد</v>
      </c>
      <c r="E15" s="13" t="str" cm="1">
        <f t="array" ref="E15">GetCellValueFromSheet(ROW()-2, "D11")</f>
        <v>Measures partner commitment to providing required information on schedule</v>
      </c>
      <c r="F15" s="13" t="str" cm="1">
        <f t="array" ref="F15">GetCellValueFromSheet(ROW()-2, "D13")</f>
        <v>(Number of timely information deliveries ÷ Total information requests) × 100</v>
      </c>
      <c r="G15" s="13" t="str" cm="1">
        <f t="array" ref="G15">GetCellValueFromSheet(ROW()-2, "D14")</f>
        <v>KPI ID,Department ID, Employee ID, Plan Submission Date, Actual Submission Date, Accurate (Y/N)</v>
      </c>
      <c r="H15" s="13" cm="1">
        <f t="array" ref="H15">GetCellValueFromSheet(ROW()-2, "D18")</f>
        <v>0</v>
      </c>
      <c r="I15" s="13" t="str" cm="1">
        <f t="array" ref="I15">GetCellValueFromSheet(ROW()-2, "N1")</f>
        <v>New KPI</v>
      </c>
      <c r="J15" s="15" cm="1">
        <f t="array" ref="J15">GetCellValueFromSheet(ROW()-2, "L16")</f>
        <v>0.03</v>
      </c>
      <c r="K15" s="16" t="str" cm="1">
        <f t="array" ref="K15">GetCellValueFromSheet(ROW()-2, "M24")</f>
        <v>≥ 95%</v>
      </c>
    </row>
    <row r="16" spans="1:12" ht="60" customHeight="1" x14ac:dyDescent="0.45">
      <c r="A16" s="13" t="str" cm="1">
        <f t="array" ref="A16">SheetNameByIndex(ROW()-2)</f>
        <v>KPI_115</v>
      </c>
      <c r="B16" s="13" t="str" cm="1">
        <f t="array" ref="B16">GetCellValueFromSheet(ROW()-2, "D7")</f>
        <v>Activating governance of the strategic role of the Human Capital Sector to enhance institutional leadership</v>
      </c>
      <c r="C16" s="13" t="str" cm="1">
        <f t="array" ref="C16">GetCellValueFromSheet(ROW()-2, "H8")</f>
        <v>Market and Research Indicators: Accuracy and quality of submitted market information</v>
      </c>
      <c r="D16" s="13" t="str" cm="1">
        <f t="array" ref="D16">GetCellValueFromSheet(ROW()-2, "N8")</f>
        <v>مؤشرات السوق و الدراسات السوقية : دقة وجودة المعلومات السوقية المقدمة</v>
      </c>
      <c r="E16" s="13" t="str" cm="1">
        <f t="array" ref="E16">GetCellValueFromSheet(ROW()-2, "D11")</f>
        <v>Assesses accuracy and adequacy of data received from partners (via satisfaction surveys or audits)</v>
      </c>
      <c r="F16" s="13" t="str" cm="1">
        <f t="array" ref="F16">GetCellValueFromSheet(ROW()-2, "D13")</f>
        <v>(Number of accurate information cases ÷ Total information cases) × 100 or average satisfaction score (out of 5)</v>
      </c>
      <c r="G16" s="13" t="str" cm="1">
        <f t="array" ref="G16">GetCellValueFromSheet(ROW()-2, "D14")</f>
        <v>KPI ID,Department ID, Employee ID, Plan Submission Date, Actual Submission Date, Accurate (Y/N)</v>
      </c>
      <c r="H16" s="13" cm="1">
        <f t="array" ref="H16">GetCellValueFromSheet(ROW()-2, "D18")</f>
        <v>0</v>
      </c>
      <c r="I16" s="13" t="str" cm="1">
        <f t="array" ref="I16">GetCellValueFromSheet(ROW()-2, "N1")</f>
        <v>New KPI</v>
      </c>
      <c r="J16" s="15" cm="1">
        <f t="array" ref="J16">GetCellValueFromSheet(ROW()-2, "L16")</f>
        <v>0.03</v>
      </c>
      <c r="K16" s="16" t="str" cm="1">
        <f t="array" ref="K16">GetCellValueFromSheet(ROW()-2, "M24")</f>
        <v>≥ 90%</v>
      </c>
    </row>
    <row r="17" spans="1:11" ht="60" customHeight="1" x14ac:dyDescent="0.45">
      <c r="A17" s="13" t="str" cm="1">
        <f t="array" ref="A17">SheetNameByIndex(ROW()-2)</f>
        <v>KPI_116</v>
      </c>
      <c r="B17" s="13" t="str" cm="1">
        <f t="array" ref="B17">GetCellValueFromSheet(ROW()-2, "D7")</f>
        <v>Activating governance of the strategic role of the Human Capital Sector to enhance institutional leadership</v>
      </c>
      <c r="C17" s="13" t="str" cm="1">
        <f t="array" ref="C17">GetCellValueFromSheet(ROW()-2, "H8")</f>
        <v>Market and Research Indicators: Satisfaction rate of internal beneficiaries</v>
      </c>
      <c r="D17" s="13" t="str" cm="1">
        <f t="array" ref="D17">GetCellValueFromSheet(ROW()-2, "N8")</f>
        <v xml:space="preserve"> مؤشرات السوق و الدراسات السوقية : معدل رضا الجهات المستفيدة الداخلية</v>
      </c>
      <c r="E17" s="13" t="str" cm="1">
        <f t="array" ref="E17">GetCellValueFromSheet(ROW()-2, "D11")</f>
        <v>Measures satisfaction of teams using market data regarding its quality and usefulness</v>
      </c>
      <c r="F17" s="13" t="str" cm="1">
        <f t="array" ref="F17">GetCellValueFromSheet(ROW()-2, "D13")</f>
        <v>(Total satisfaction score ÷ Number of responses) × 100</v>
      </c>
      <c r="G17" s="13" t="str" cm="1">
        <f t="array" ref="G17">GetCellValueFromSheet(ROW()-2, "D14")</f>
        <v>Data ID, Employee ID, Satisfaction</v>
      </c>
      <c r="H17" s="13" t="str" cm="1">
        <f t="array" ref="H17">GetCellValueFromSheet(ROW()-2, "D18")</f>
        <v>This is a duplicate KPI that is very tackling the a very similar topic to KPI_115</v>
      </c>
      <c r="I17" s="13" t="str" cm="1">
        <f t="array" ref="I17">GetCellValueFromSheet(ROW()-2, "N1")</f>
        <v>To be Removed</v>
      </c>
      <c r="J17" s="15" cm="1">
        <f t="array" ref="J17">GetCellValueFromSheet(ROW()-2, "L16")</f>
        <v>0</v>
      </c>
      <c r="K17" s="16" t="str" cm="1">
        <f t="array" ref="K17">GetCellValueFromSheet(ROW()-2, "M24")</f>
        <v>≥ 85%</v>
      </c>
    </row>
    <row r="18" spans="1:11" ht="85.5" x14ac:dyDescent="0.45">
      <c r="A18" s="13" t="str" cm="1">
        <f t="array" ref="A18">SheetNameByIndex(ROW()-2)</f>
        <v>KPI_117</v>
      </c>
      <c r="B18" s="13" t="str" cm="1">
        <f t="array" ref="B18">GetCellValueFromSheet(ROW()-2, "D7")</f>
        <v>Contracting with strategic partners</v>
      </c>
      <c r="C18" s="13" t="str" cm="1">
        <f t="array" ref="C18">GetCellValueFromSheet(ROW()-2, "H8")</f>
        <v>Contracting with strategic partners</v>
      </c>
      <c r="D18" s="13" t="str" cm="1">
        <f t="array" ref="D18">GetCellValueFromSheet(ROW()-2, "N8")</f>
        <v xml:space="preserve"> التعاقد مع الشركاء الاستراتيجيين</v>
      </c>
      <c r="E18" s="13" t="str" cm="1">
        <f t="array" ref="E18">GetCellValueFromSheet(ROW()-2, "D11")</f>
        <v>Signing strategic partnerships with consultancies for studies and market intelligence</v>
      </c>
      <c r="F18" s="13" t="str" cm="1">
        <f t="array" ref="F18">GetCellValueFromSheet(ROW()-2, "D13")</f>
        <v>Days with Consultancy Coverage / 365</v>
      </c>
      <c r="G18" s="13" t="str" cm="1">
        <f t="array" ref="G18">GetCellValueFromSheet(ROW()-2, "D14")</f>
        <v>Contract ID, Consultant Name, Data Type, Start Date, End Date</v>
      </c>
      <c r="H18" s="13" t="str" cm="1">
        <f t="array" ref="H18">GetCellValueFromSheet(ROW()-2, "D18")</f>
        <v>The KPI is recommended to be deleted as the market data can be covered via ad-hoc requests and data is usually utilized once within the year</v>
      </c>
      <c r="I18" s="13" t="str" cm="1">
        <f t="array" ref="I18">GetCellValueFromSheet(ROW()-2, "N1")</f>
        <v>To Be Removed</v>
      </c>
      <c r="J18" s="15" cm="1">
        <f t="array" ref="J18">GetCellValueFromSheet(ROW()-2, "L16")</f>
        <v>0</v>
      </c>
      <c r="K18" s="16" t="str" cm="1">
        <f t="array" ref="K18">GetCellValueFromSheet(ROW()-2, "M24")</f>
        <v>At least one partner</v>
      </c>
    </row>
  </sheetData>
  <autoFilter ref="A3:K18" xr:uid="{00000000-0001-0000-0000-000000000000}"/>
  <mergeCells count="1">
    <mergeCell ref="A1:I1"/>
  </mergeCells>
  <pageMargins left="0.75" right="0.75" top="1" bottom="1" header="0.5" footer="0.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4"/>
  </sheetPr>
  <dimension ref="A1:Z30"/>
  <sheetViews>
    <sheetView tabSelected="1" zoomScale="75" workbookViewId="0">
      <selection activeCell="A31" sqref="A31:XFD43"/>
    </sheetView>
  </sheetViews>
  <sheetFormatPr defaultRowHeight="14.25" x14ac:dyDescent="0.45"/>
  <cols>
    <col min="1" max="1" width="16.265625" customWidth="1"/>
    <col min="2" max="2" width="12.73046875" customWidth="1"/>
    <col min="3" max="3" width="13.33203125" customWidth="1"/>
    <col min="5" max="5" width="9.06640625" customWidth="1"/>
    <col min="7" max="7" width="14.59765625" customWidth="1"/>
    <col min="10" max="10" width="13.73046875" customWidth="1"/>
    <col min="16" max="16" width="12.33203125" customWidth="1"/>
    <col min="18" max="18" width="13.06640625" customWidth="1"/>
    <col min="20" max="20" width="13.33203125" customWidth="1"/>
    <col min="28" max="28" width="13.06640625" bestFit="1" customWidth="1"/>
    <col min="29" max="29" width="32.06640625" bestFit="1" customWidth="1"/>
    <col min="30" max="30" width="29.59765625" bestFit="1" customWidth="1"/>
    <col min="32" max="32" width="13.06640625" bestFit="1" customWidth="1"/>
    <col min="33" max="33" width="13.59765625" customWidth="1"/>
    <col min="34" max="34" width="17.796875" customWidth="1"/>
  </cols>
  <sheetData>
    <row r="1" spans="1:26" ht="24.75" customHeight="1" x14ac:dyDescent="0.45">
      <c r="A1" s="44" t="s">
        <v>13</v>
      </c>
      <c r="B1" s="84"/>
      <c r="C1" s="84"/>
      <c r="D1" s="84"/>
      <c r="E1" s="84"/>
      <c r="F1" s="84"/>
      <c r="G1" s="84"/>
      <c r="H1" s="84"/>
      <c r="I1" s="84"/>
      <c r="J1" s="84"/>
      <c r="K1" s="84"/>
      <c r="L1" s="84"/>
      <c r="M1" s="85"/>
      <c r="N1" s="73" t="s">
        <v>12</v>
      </c>
      <c r="O1" s="30"/>
      <c r="P1" s="30"/>
      <c r="Q1" s="30"/>
      <c r="R1" s="30"/>
      <c r="S1" s="30"/>
      <c r="T1" s="30"/>
      <c r="U1" s="30"/>
      <c r="V1" s="30"/>
      <c r="W1" s="30"/>
      <c r="X1" s="30"/>
      <c r="Y1" s="30"/>
      <c r="Z1" s="31"/>
    </row>
    <row r="2" spans="1:26" ht="26.25" customHeight="1" x14ac:dyDescent="0.45">
      <c r="A2" s="86"/>
      <c r="B2" s="87"/>
      <c r="C2" s="87"/>
      <c r="D2" s="87"/>
      <c r="E2" s="87"/>
      <c r="F2" s="87"/>
      <c r="G2" s="87"/>
      <c r="H2" s="87"/>
      <c r="I2" s="87"/>
      <c r="J2" s="87"/>
      <c r="K2" s="87"/>
      <c r="L2" s="87"/>
      <c r="M2" s="88"/>
      <c r="N2" s="41"/>
      <c r="O2" s="42"/>
      <c r="P2" s="42"/>
      <c r="Q2" s="42"/>
      <c r="R2" s="42"/>
      <c r="S2" s="42"/>
      <c r="T2" s="42"/>
      <c r="U2" s="42"/>
      <c r="V2" s="42"/>
      <c r="W2" s="42"/>
      <c r="X2" s="42"/>
      <c r="Y2" s="42"/>
      <c r="Z2" s="43"/>
    </row>
    <row r="3" spans="1:26" ht="29.25" customHeight="1" x14ac:dyDescent="0.45">
      <c r="A3" s="44" t="s">
        <v>14</v>
      </c>
      <c r="B3" s="45"/>
      <c r="C3" s="45"/>
      <c r="D3" s="45"/>
      <c r="E3" s="45"/>
      <c r="F3" s="45"/>
      <c r="G3" s="45"/>
      <c r="H3" s="45"/>
      <c r="I3" s="45"/>
      <c r="J3" s="45"/>
      <c r="K3" s="45"/>
      <c r="L3" s="45"/>
      <c r="M3" s="46"/>
      <c r="N3" s="50" t="s">
        <v>15</v>
      </c>
      <c r="O3" s="45"/>
      <c r="P3" s="45"/>
      <c r="Q3" s="45"/>
      <c r="R3" s="45"/>
      <c r="S3" s="45"/>
      <c r="T3" s="45"/>
      <c r="U3" s="45"/>
      <c r="V3" s="45"/>
      <c r="W3" s="45"/>
      <c r="X3" s="45"/>
      <c r="Y3" s="45"/>
      <c r="Z3" s="46"/>
    </row>
    <row r="4" spans="1:26" ht="42.75" customHeight="1" x14ac:dyDescent="0.45">
      <c r="A4" s="66" t="s">
        <v>16</v>
      </c>
      <c r="B4" s="42"/>
      <c r="C4" s="43"/>
      <c r="D4" s="79"/>
      <c r="E4" s="26"/>
      <c r="F4" s="26"/>
      <c r="G4" s="26"/>
      <c r="H4" s="24"/>
      <c r="I4" s="66" t="s">
        <v>18</v>
      </c>
      <c r="J4" s="43"/>
      <c r="K4" s="35"/>
      <c r="L4" s="26"/>
      <c r="M4" s="24"/>
      <c r="N4" s="52"/>
      <c r="O4" s="33"/>
      <c r="P4" s="34"/>
      <c r="Q4" s="99" t="s">
        <v>19</v>
      </c>
      <c r="R4" s="43"/>
      <c r="S4" s="60"/>
      <c r="T4" s="61"/>
      <c r="U4" s="61"/>
      <c r="V4" s="61"/>
      <c r="W4" s="62"/>
      <c r="X4" s="96" t="s">
        <v>20</v>
      </c>
      <c r="Y4" s="42"/>
      <c r="Z4" s="43"/>
    </row>
    <row r="5" spans="1:26" ht="39.75" customHeight="1" x14ac:dyDescent="0.45">
      <c r="A5" s="29" t="s">
        <v>21</v>
      </c>
      <c r="B5" s="30"/>
      <c r="C5" s="31"/>
      <c r="D5" s="79" t="s">
        <v>17</v>
      </c>
      <c r="E5" s="26"/>
      <c r="F5" s="26"/>
      <c r="G5" s="26"/>
      <c r="H5" s="24"/>
      <c r="I5" s="29" t="s">
        <v>22</v>
      </c>
      <c r="J5" s="31"/>
      <c r="K5" s="35"/>
      <c r="L5" s="26"/>
      <c r="M5" s="24"/>
      <c r="N5" s="52"/>
      <c r="O5" s="33"/>
      <c r="P5" s="34"/>
      <c r="Q5" s="55" t="s">
        <v>23</v>
      </c>
      <c r="R5" s="31"/>
      <c r="S5" s="60"/>
      <c r="T5" s="61"/>
      <c r="U5" s="61"/>
      <c r="V5" s="61"/>
      <c r="W5" s="62"/>
      <c r="X5" s="53" t="s">
        <v>24</v>
      </c>
      <c r="Y5" s="30"/>
      <c r="Z5" s="31"/>
    </row>
    <row r="6" spans="1:26" ht="27" customHeight="1" x14ac:dyDescent="0.45">
      <c r="A6" s="44" t="s">
        <v>25</v>
      </c>
      <c r="B6" s="45"/>
      <c r="C6" s="45"/>
      <c r="D6" s="45"/>
      <c r="E6" s="45"/>
      <c r="F6" s="45"/>
      <c r="G6" s="45"/>
      <c r="H6" s="45"/>
      <c r="I6" s="45"/>
      <c r="J6" s="45"/>
      <c r="K6" s="45"/>
      <c r="L6" s="45"/>
      <c r="M6" s="46"/>
      <c r="N6" s="50" t="s">
        <v>26</v>
      </c>
      <c r="O6" s="45"/>
      <c r="P6" s="45"/>
      <c r="Q6" s="45"/>
      <c r="R6" s="45"/>
      <c r="S6" s="45"/>
      <c r="T6" s="45"/>
      <c r="U6" s="45"/>
      <c r="V6" s="45"/>
      <c r="W6" s="45"/>
      <c r="X6" s="45"/>
      <c r="Y6" s="45"/>
      <c r="Z6" s="46"/>
    </row>
    <row r="7" spans="1:26" ht="39.75" customHeight="1" x14ac:dyDescent="0.45">
      <c r="A7" s="23" t="s">
        <v>27</v>
      </c>
      <c r="B7" s="26"/>
      <c r="C7" s="24"/>
      <c r="D7" s="56" t="s">
        <v>9</v>
      </c>
      <c r="E7" s="26"/>
      <c r="F7" s="26"/>
      <c r="G7" s="26"/>
      <c r="H7" s="26"/>
      <c r="I7" s="54" t="s">
        <v>28</v>
      </c>
      <c r="J7" s="42"/>
      <c r="K7" s="56"/>
      <c r="L7" s="57"/>
      <c r="M7" s="57"/>
      <c r="N7" s="98"/>
      <c r="O7" s="42"/>
      <c r="P7" s="42"/>
      <c r="Q7" s="58" t="s">
        <v>29</v>
      </c>
      <c r="R7" s="42"/>
      <c r="S7" s="93"/>
      <c r="T7" s="26"/>
      <c r="U7" s="26"/>
      <c r="V7" s="26"/>
      <c r="W7" s="24"/>
      <c r="X7" s="51" t="s">
        <v>30</v>
      </c>
      <c r="Y7" s="42"/>
      <c r="Z7" s="43"/>
    </row>
    <row r="8" spans="1:26" ht="47.25" customHeight="1" x14ac:dyDescent="0.45">
      <c r="A8" s="92" t="s">
        <v>0</v>
      </c>
      <c r="B8" s="45"/>
      <c r="C8" s="46"/>
      <c r="D8" s="79" t="s">
        <v>8</v>
      </c>
      <c r="E8" s="24"/>
      <c r="F8" s="92" t="s">
        <v>31</v>
      </c>
      <c r="G8" s="46"/>
      <c r="H8" s="79" t="s">
        <v>80</v>
      </c>
      <c r="I8" s="26"/>
      <c r="J8" s="26"/>
      <c r="K8" s="26"/>
      <c r="L8" s="26"/>
      <c r="M8" s="24"/>
      <c r="N8" s="67"/>
      <c r="O8" s="26"/>
      <c r="P8" s="26"/>
      <c r="Q8" s="26"/>
      <c r="R8" s="26"/>
      <c r="S8" s="24"/>
      <c r="T8" s="72" t="s">
        <v>32</v>
      </c>
      <c r="U8" s="46"/>
      <c r="V8" s="70"/>
      <c r="W8" s="71"/>
      <c r="X8" s="72" t="s">
        <v>33</v>
      </c>
      <c r="Y8" s="45"/>
      <c r="Z8" s="46"/>
    </row>
    <row r="9" spans="1:26" ht="45" customHeight="1" x14ac:dyDescent="0.45">
      <c r="A9" s="97" t="s">
        <v>34</v>
      </c>
      <c r="B9" s="26"/>
      <c r="C9" s="26"/>
      <c r="D9" s="40"/>
      <c r="E9" s="24"/>
      <c r="F9" s="23" t="s">
        <v>35</v>
      </c>
      <c r="G9" s="24"/>
      <c r="H9" s="68"/>
      <c r="I9" s="26"/>
      <c r="J9" s="37"/>
      <c r="K9" s="26"/>
      <c r="L9" s="26"/>
      <c r="M9" s="24"/>
      <c r="N9" s="28"/>
      <c r="O9" s="26"/>
      <c r="P9" s="26"/>
      <c r="Q9" s="94"/>
      <c r="R9" s="95"/>
      <c r="S9" s="95"/>
      <c r="T9" s="27" t="s">
        <v>86</v>
      </c>
      <c r="U9" s="24"/>
      <c r="V9" s="80"/>
      <c r="W9" s="24"/>
      <c r="X9" s="69" t="s">
        <v>36</v>
      </c>
      <c r="Y9" s="26"/>
      <c r="Z9" s="24"/>
    </row>
    <row r="10" spans="1:26" ht="49.5" customHeight="1" x14ac:dyDescent="0.45">
      <c r="A10" s="23" t="s">
        <v>37</v>
      </c>
      <c r="B10" s="26"/>
      <c r="C10" s="24"/>
      <c r="D10" s="35"/>
      <c r="E10" s="24"/>
      <c r="F10" s="82" t="s">
        <v>38</v>
      </c>
      <c r="G10" s="43"/>
      <c r="H10" s="59"/>
      <c r="I10" s="43"/>
      <c r="J10" s="23" t="s">
        <v>39</v>
      </c>
      <c r="K10" s="24"/>
      <c r="L10" s="37"/>
      <c r="M10" s="24"/>
      <c r="N10" s="74"/>
      <c r="O10" s="26"/>
      <c r="P10" s="27" t="s">
        <v>40</v>
      </c>
      <c r="Q10" s="24"/>
      <c r="R10" s="102"/>
      <c r="S10" s="95"/>
      <c r="T10" s="27" t="s">
        <v>41</v>
      </c>
      <c r="U10" s="24"/>
      <c r="V10" s="38"/>
      <c r="W10" s="24"/>
      <c r="X10" s="69" t="s">
        <v>42</v>
      </c>
      <c r="Y10" s="26"/>
      <c r="Z10" s="24"/>
    </row>
    <row r="11" spans="1:26" ht="14.55" customHeight="1" x14ac:dyDescent="0.45">
      <c r="A11" s="39" t="s">
        <v>43</v>
      </c>
      <c r="B11" s="30"/>
      <c r="C11" s="31"/>
      <c r="D11" s="40" t="s">
        <v>87</v>
      </c>
      <c r="E11" s="30"/>
      <c r="F11" s="30"/>
      <c r="G11" s="30"/>
      <c r="H11" s="30"/>
      <c r="I11" s="30"/>
      <c r="J11" s="30"/>
      <c r="K11" s="30"/>
      <c r="L11" s="30"/>
      <c r="M11" s="31"/>
      <c r="N11" s="75"/>
      <c r="O11" s="30"/>
      <c r="P11" s="30"/>
      <c r="Q11" s="30"/>
      <c r="R11" s="30"/>
      <c r="S11" s="30"/>
      <c r="T11" s="30"/>
      <c r="U11" s="30"/>
      <c r="V11" s="30"/>
      <c r="W11" s="31"/>
      <c r="X11" s="69" t="s">
        <v>44</v>
      </c>
      <c r="Y11" s="30"/>
      <c r="Z11" s="31"/>
    </row>
    <row r="12" spans="1:26" ht="60.75" customHeight="1" x14ac:dyDescent="0.45">
      <c r="A12" s="41"/>
      <c r="B12" s="42"/>
      <c r="C12" s="43"/>
      <c r="D12" s="41"/>
      <c r="E12" s="42"/>
      <c r="F12" s="42"/>
      <c r="G12" s="42"/>
      <c r="H12" s="42"/>
      <c r="I12" s="42"/>
      <c r="J12" s="42"/>
      <c r="K12" s="42"/>
      <c r="L12" s="42"/>
      <c r="M12" s="43"/>
      <c r="N12" s="76"/>
      <c r="O12" s="77"/>
      <c r="P12" s="77"/>
      <c r="Q12" s="77"/>
      <c r="R12" s="77"/>
      <c r="S12" s="77"/>
      <c r="T12" s="77"/>
      <c r="U12" s="77"/>
      <c r="V12" s="77"/>
      <c r="W12" s="78"/>
      <c r="X12" s="41"/>
      <c r="Y12" s="42"/>
      <c r="Z12" s="43"/>
    </row>
    <row r="13" spans="1:26" ht="42" customHeight="1" x14ac:dyDescent="0.45">
      <c r="A13" s="39" t="s">
        <v>45</v>
      </c>
      <c r="B13" s="26"/>
      <c r="C13" s="24"/>
      <c r="D13" s="40" t="s">
        <v>88</v>
      </c>
      <c r="E13" s="26"/>
      <c r="F13" s="26"/>
      <c r="G13" s="26"/>
      <c r="H13" s="26"/>
      <c r="I13" s="26"/>
      <c r="J13" s="26"/>
      <c r="K13" s="26"/>
      <c r="L13" s="26"/>
      <c r="M13" s="24"/>
      <c r="N13" s="63"/>
      <c r="O13" s="64"/>
      <c r="P13" s="64"/>
      <c r="Q13" s="64"/>
      <c r="R13" s="64"/>
      <c r="S13" s="64"/>
      <c r="T13" s="64"/>
      <c r="U13" s="64"/>
      <c r="V13" s="64"/>
      <c r="W13" s="65"/>
      <c r="X13" s="69" t="s">
        <v>46</v>
      </c>
      <c r="Y13" s="26"/>
      <c r="Z13" s="24"/>
    </row>
    <row r="14" spans="1:26" ht="42.75" customHeight="1" x14ac:dyDescent="0.45">
      <c r="A14" s="39" t="s">
        <v>5</v>
      </c>
      <c r="B14" s="26"/>
      <c r="C14" s="24"/>
      <c r="D14" s="40" t="s">
        <v>10</v>
      </c>
      <c r="E14" s="26"/>
      <c r="F14" s="26"/>
      <c r="G14" s="26"/>
      <c r="H14" s="26"/>
      <c r="I14" s="26"/>
      <c r="J14" s="26"/>
      <c r="K14" s="26"/>
      <c r="L14" s="26"/>
      <c r="M14" s="24"/>
      <c r="N14" s="103"/>
      <c r="O14" s="61"/>
      <c r="P14" s="61"/>
      <c r="Q14" s="61"/>
      <c r="R14" s="61"/>
      <c r="S14" s="61"/>
      <c r="T14" s="61"/>
      <c r="U14" s="61"/>
      <c r="V14" s="61"/>
      <c r="W14" s="62"/>
      <c r="X14" s="69" t="s">
        <v>47</v>
      </c>
      <c r="Y14" s="26"/>
      <c r="Z14" s="24"/>
    </row>
    <row r="15" spans="1:26" ht="42.75" customHeight="1" x14ac:dyDescent="0.45">
      <c r="A15" s="39" t="s">
        <v>48</v>
      </c>
      <c r="B15" s="26"/>
      <c r="C15" s="24"/>
      <c r="D15" s="35"/>
      <c r="E15" s="24"/>
      <c r="F15" s="23" t="s">
        <v>49</v>
      </c>
      <c r="G15" s="24"/>
      <c r="H15" s="35"/>
      <c r="I15" s="24"/>
      <c r="J15" s="23" t="s">
        <v>50</v>
      </c>
      <c r="K15" s="24"/>
      <c r="L15" s="83"/>
      <c r="M15" s="24"/>
      <c r="N15" s="81"/>
      <c r="O15" s="24"/>
      <c r="P15" s="27" t="s">
        <v>51</v>
      </c>
      <c r="Q15" s="24"/>
      <c r="R15" s="91" t="str">
        <f>IF(ISBLANK(H15), "", H15)</f>
        <v/>
      </c>
      <c r="S15" s="26"/>
      <c r="T15" s="27" t="s">
        <v>52</v>
      </c>
      <c r="U15" s="24"/>
      <c r="V15" s="36" t="str">
        <f>IF(ISBLANK(D15), "", D15)</f>
        <v/>
      </c>
      <c r="W15" s="24"/>
      <c r="X15" s="51" t="s">
        <v>53</v>
      </c>
      <c r="Y15" s="42"/>
      <c r="Z15" s="43"/>
    </row>
    <row r="16" spans="1:26" ht="45.75" customHeight="1" x14ac:dyDescent="0.45">
      <c r="A16" s="29" t="s">
        <v>54</v>
      </c>
      <c r="B16" s="30"/>
      <c r="C16" s="31"/>
      <c r="D16" s="35"/>
      <c r="E16" s="24"/>
      <c r="F16" s="47" t="s">
        <v>55</v>
      </c>
      <c r="G16" s="31"/>
      <c r="H16" s="35"/>
      <c r="I16" s="24"/>
      <c r="J16" s="23" t="s">
        <v>56</v>
      </c>
      <c r="K16" s="24"/>
      <c r="L16" s="83">
        <v>0.2</v>
      </c>
      <c r="M16" s="24"/>
      <c r="N16" s="101"/>
      <c r="O16" s="24"/>
      <c r="P16" s="27" t="s">
        <v>57</v>
      </c>
      <c r="Q16" s="24"/>
      <c r="R16" s="25"/>
      <c r="S16" s="26"/>
      <c r="T16" s="27" t="s">
        <v>58</v>
      </c>
      <c r="U16" s="24"/>
      <c r="V16" s="48" t="str">
        <f>IF(ISBLANK(D16), "", D16)</f>
        <v/>
      </c>
      <c r="W16" s="24"/>
      <c r="X16" s="51" t="s">
        <v>59</v>
      </c>
      <c r="Y16" s="42"/>
      <c r="Z16" s="43"/>
    </row>
    <row r="17" spans="1:26" ht="62.25" customHeight="1" x14ac:dyDescent="0.45">
      <c r="A17" s="23" t="s">
        <v>60</v>
      </c>
      <c r="B17" s="26"/>
      <c r="C17" s="24"/>
      <c r="D17" s="49"/>
      <c r="E17" s="26"/>
      <c r="F17" s="26"/>
      <c r="G17" s="26"/>
      <c r="H17" s="26"/>
      <c r="I17" s="26"/>
      <c r="J17" s="26"/>
      <c r="K17" s="26"/>
      <c r="L17" s="26"/>
      <c r="M17" s="26"/>
      <c r="N17" s="49"/>
      <c r="O17" s="26"/>
      <c r="P17" s="26"/>
      <c r="Q17" s="26"/>
      <c r="R17" s="26"/>
      <c r="S17" s="26"/>
      <c r="T17" s="26"/>
      <c r="U17" s="26"/>
      <c r="V17" s="26"/>
      <c r="W17" s="26"/>
      <c r="X17" s="51" t="s">
        <v>61</v>
      </c>
      <c r="Y17" s="42"/>
      <c r="Z17" s="43"/>
    </row>
    <row r="18" spans="1:26" ht="38.25" customHeight="1" x14ac:dyDescent="0.45">
      <c r="A18" s="23" t="s">
        <v>62</v>
      </c>
      <c r="B18" s="26"/>
      <c r="C18" s="24"/>
      <c r="D18" s="32" t="s">
        <v>11</v>
      </c>
      <c r="E18" s="33"/>
      <c r="F18" s="33"/>
      <c r="G18" s="33"/>
      <c r="H18" s="33"/>
      <c r="I18" s="33"/>
      <c r="J18" s="33"/>
      <c r="K18" s="33"/>
      <c r="L18" s="33"/>
      <c r="M18" s="34"/>
      <c r="N18" s="100"/>
      <c r="O18" s="30"/>
      <c r="P18" s="30"/>
      <c r="Q18" s="30"/>
      <c r="R18" s="30"/>
      <c r="S18" s="30"/>
      <c r="T18" s="30"/>
      <c r="U18" s="30"/>
      <c r="V18" s="30"/>
      <c r="W18" s="31"/>
      <c r="X18" s="20" t="s">
        <v>84</v>
      </c>
      <c r="Y18" s="21"/>
      <c r="Z18" s="22"/>
    </row>
    <row r="19" spans="1:26" ht="39.75" customHeight="1" x14ac:dyDescent="0.45">
      <c r="A19" s="44" t="s">
        <v>63</v>
      </c>
      <c r="B19" s="45"/>
      <c r="C19" s="45"/>
      <c r="D19" s="45"/>
      <c r="E19" s="45"/>
      <c r="F19" s="45"/>
      <c r="G19" s="45"/>
      <c r="H19" s="45"/>
      <c r="I19" s="45"/>
      <c r="J19" s="45"/>
      <c r="K19" s="45"/>
      <c r="L19" s="45"/>
      <c r="M19" s="46"/>
      <c r="N19" s="89"/>
      <c r="O19" s="30"/>
      <c r="P19" s="30"/>
      <c r="Q19" s="30"/>
      <c r="R19" s="30"/>
      <c r="S19" s="30"/>
      <c r="T19" s="30"/>
      <c r="U19" s="30"/>
      <c r="V19" s="30"/>
      <c r="W19" s="30"/>
      <c r="X19" s="30"/>
      <c r="Y19" s="30"/>
      <c r="Z19" s="31"/>
    </row>
    <row r="20" spans="1:26" ht="15" customHeight="1" x14ac:dyDescent="0.45">
      <c r="A20" s="3" t="s">
        <v>64</v>
      </c>
      <c r="B20" s="4" t="s">
        <v>65</v>
      </c>
      <c r="C20" s="4" t="s">
        <v>66</v>
      </c>
      <c r="D20" s="4" t="s">
        <v>67</v>
      </c>
      <c r="E20" s="4" t="s">
        <v>68</v>
      </c>
      <c r="F20" s="4" t="s">
        <v>69</v>
      </c>
      <c r="G20" s="4" t="s">
        <v>70</v>
      </c>
      <c r="H20" s="4" t="s">
        <v>71</v>
      </c>
      <c r="I20" s="4" t="s">
        <v>72</v>
      </c>
      <c r="J20" s="4" t="s">
        <v>73</v>
      </c>
      <c r="K20" s="4" t="s">
        <v>74</v>
      </c>
      <c r="L20" s="4" t="s">
        <v>75</v>
      </c>
      <c r="M20" s="5" t="s">
        <v>76</v>
      </c>
      <c r="N20" s="90"/>
      <c r="O20" s="21"/>
      <c r="P20" s="21"/>
      <c r="Q20" s="21"/>
      <c r="R20" s="21"/>
      <c r="S20" s="21"/>
      <c r="T20" s="21"/>
      <c r="U20" s="21"/>
      <c r="V20" s="21"/>
      <c r="W20" s="21"/>
      <c r="X20" s="21"/>
      <c r="Y20" s="21"/>
      <c r="Z20" s="22"/>
    </row>
    <row r="21" spans="1:26" ht="25.5" customHeight="1" x14ac:dyDescent="0.45">
      <c r="A21" s="3">
        <v>2025</v>
      </c>
      <c r="B21" s="6"/>
      <c r="C21" s="6"/>
      <c r="D21" s="6"/>
      <c r="E21" s="6"/>
      <c r="F21" s="6"/>
      <c r="G21" s="6"/>
      <c r="H21" s="6"/>
      <c r="I21" s="6"/>
      <c r="J21" s="6"/>
      <c r="K21" s="6"/>
      <c r="L21" s="6"/>
      <c r="M21" s="2"/>
      <c r="N21" s="41"/>
      <c r="O21" s="42"/>
      <c r="P21" s="42"/>
      <c r="Q21" s="42"/>
      <c r="R21" s="42"/>
      <c r="S21" s="42"/>
      <c r="T21" s="42"/>
      <c r="U21" s="42"/>
      <c r="V21" s="42"/>
      <c r="W21" s="42"/>
      <c r="X21" s="42"/>
      <c r="Y21" s="42"/>
      <c r="Z21" s="43"/>
    </row>
    <row r="22" spans="1:26" ht="39" customHeight="1" x14ac:dyDescent="0.45">
      <c r="A22" s="44" t="s">
        <v>77</v>
      </c>
      <c r="B22" s="45"/>
      <c r="C22" s="45"/>
      <c r="D22" s="45"/>
      <c r="E22" s="45"/>
      <c r="F22" s="45"/>
      <c r="G22" s="45"/>
      <c r="H22" s="45"/>
      <c r="I22" s="45"/>
      <c r="J22" s="45"/>
      <c r="K22" s="45"/>
      <c r="L22" s="45"/>
      <c r="M22" s="46"/>
      <c r="N22" s="7"/>
      <c r="O22" s="7"/>
      <c r="P22" s="7"/>
      <c r="Q22" s="7"/>
      <c r="R22" s="7"/>
      <c r="S22" s="7"/>
      <c r="T22" s="7"/>
      <c r="U22" s="7"/>
      <c r="V22" s="7"/>
    </row>
    <row r="23" spans="1:26" x14ac:dyDescent="0.45">
      <c r="A23" s="3" t="s">
        <v>64</v>
      </c>
      <c r="B23" s="4" t="s">
        <v>65</v>
      </c>
      <c r="C23" s="4" t="s">
        <v>66</v>
      </c>
      <c r="D23" s="4" t="s">
        <v>67</v>
      </c>
      <c r="E23" s="4" t="s">
        <v>68</v>
      </c>
      <c r="F23" s="4" t="s">
        <v>69</v>
      </c>
      <c r="G23" s="4" t="s">
        <v>70</v>
      </c>
      <c r="H23" s="4" t="s">
        <v>71</v>
      </c>
      <c r="I23" s="4" t="s">
        <v>72</v>
      </c>
      <c r="J23" s="4" t="s">
        <v>73</v>
      </c>
      <c r="K23" s="4" t="s">
        <v>74</v>
      </c>
      <c r="L23" s="4" t="s">
        <v>75</v>
      </c>
      <c r="M23" s="4" t="s">
        <v>76</v>
      </c>
    </row>
    <row r="24" spans="1:26" ht="42.75" customHeight="1" x14ac:dyDescent="0.45">
      <c r="A24" s="1">
        <v>2026</v>
      </c>
      <c r="B24" s="10"/>
      <c r="C24" s="10"/>
      <c r="D24" s="10"/>
      <c r="E24" s="10"/>
      <c r="F24" s="10"/>
      <c r="G24" s="10"/>
      <c r="H24" s="10"/>
      <c r="I24" s="10"/>
      <c r="J24" s="10"/>
      <c r="K24" s="10"/>
      <c r="L24" s="10"/>
      <c r="M24" s="11" t="s">
        <v>78</v>
      </c>
    </row>
    <row r="25" spans="1:26" ht="39.75" customHeight="1" x14ac:dyDescent="0.45">
      <c r="A25" s="44" t="s">
        <v>79</v>
      </c>
      <c r="B25" s="45"/>
      <c r="C25" s="45"/>
      <c r="D25" s="45"/>
      <c r="E25" s="45"/>
      <c r="F25" s="45"/>
      <c r="G25" s="45"/>
      <c r="H25" s="45"/>
      <c r="I25" s="45"/>
      <c r="J25" s="45"/>
      <c r="K25" s="45"/>
      <c r="L25" s="45"/>
      <c r="M25" s="46"/>
    </row>
    <row r="26" spans="1:26" ht="21" customHeight="1" x14ac:dyDescent="0.45">
      <c r="A26" s="3" t="s">
        <v>64</v>
      </c>
      <c r="B26" s="3" t="s">
        <v>65</v>
      </c>
      <c r="C26" s="3" t="s">
        <v>66</v>
      </c>
      <c r="D26" s="3" t="s">
        <v>67</v>
      </c>
      <c r="E26" s="3" t="s">
        <v>68</v>
      </c>
      <c r="F26" s="3" t="s">
        <v>69</v>
      </c>
      <c r="G26" s="3" t="s">
        <v>70</v>
      </c>
      <c r="H26" s="3" t="s">
        <v>71</v>
      </c>
      <c r="I26" s="3" t="s">
        <v>72</v>
      </c>
      <c r="J26" s="3" t="s">
        <v>73</v>
      </c>
      <c r="K26" s="3" t="s">
        <v>74</v>
      </c>
      <c r="L26" s="3" t="s">
        <v>75</v>
      </c>
      <c r="M26" s="3" t="s">
        <v>76</v>
      </c>
    </row>
    <row r="27" spans="1:26" x14ac:dyDescent="0.45">
      <c r="A27" s="3">
        <v>2021</v>
      </c>
      <c r="B27" s="8"/>
      <c r="C27" s="8"/>
      <c r="D27" s="8"/>
      <c r="E27" s="8"/>
      <c r="F27" s="8"/>
      <c r="G27" s="8"/>
      <c r="H27" s="8"/>
      <c r="I27" s="8"/>
      <c r="J27" s="8"/>
      <c r="K27" s="8"/>
      <c r="L27" s="8"/>
      <c r="M27" s="8"/>
    </row>
    <row r="28" spans="1:26" x14ac:dyDescent="0.45">
      <c r="A28" s="9">
        <v>2022</v>
      </c>
      <c r="B28" s="8"/>
      <c r="C28" s="8"/>
      <c r="D28" s="8"/>
      <c r="E28" s="8"/>
      <c r="F28" s="8"/>
      <c r="G28" s="8"/>
      <c r="H28" s="8"/>
      <c r="I28" s="8"/>
      <c r="J28" s="8"/>
      <c r="K28" s="8"/>
      <c r="L28" s="8"/>
      <c r="M28" s="8"/>
    </row>
    <row r="29" spans="1:26" x14ac:dyDescent="0.45">
      <c r="A29" s="3">
        <v>2023</v>
      </c>
      <c r="B29" s="8"/>
      <c r="C29" s="8"/>
      <c r="D29" s="8"/>
      <c r="E29" s="8"/>
      <c r="F29" s="8"/>
      <c r="G29" s="8"/>
      <c r="H29" s="8"/>
      <c r="I29" s="8"/>
      <c r="J29" s="8"/>
      <c r="K29" s="8"/>
      <c r="L29" s="8"/>
      <c r="M29" s="8"/>
    </row>
    <row r="30" spans="1:26" x14ac:dyDescent="0.45">
      <c r="A30" s="3">
        <v>2024</v>
      </c>
      <c r="B30" s="8"/>
      <c r="C30" s="8"/>
      <c r="D30" s="8"/>
      <c r="E30" s="8"/>
      <c r="F30" s="8"/>
      <c r="G30" s="8"/>
      <c r="H30" s="8"/>
      <c r="I30" s="8"/>
      <c r="J30" s="8"/>
      <c r="K30" s="8"/>
      <c r="L30" s="8"/>
      <c r="M30" s="8"/>
    </row>
  </sheetData>
  <mergeCells count="108">
    <mergeCell ref="A3:M3"/>
    <mergeCell ref="Q4:R4"/>
    <mergeCell ref="F8:G8"/>
    <mergeCell ref="X10:Z10"/>
    <mergeCell ref="D7:H7"/>
    <mergeCell ref="A25:M25"/>
    <mergeCell ref="A4:C4"/>
    <mergeCell ref="N18:W18"/>
    <mergeCell ref="N16:O16"/>
    <mergeCell ref="A22:M22"/>
    <mergeCell ref="P10:Q10"/>
    <mergeCell ref="R10:S10"/>
    <mergeCell ref="K4:M4"/>
    <mergeCell ref="X9:Z9"/>
    <mergeCell ref="H8:M8"/>
    <mergeCell ref="A15:C15"/>
    <mergeCell ref="D9:E9"/>
    <mergeCell ref="F9:G9"/>
    <mergeCell ref="N14:W14"/>
    <mergeCell ref="D5:H5"/>
    <mergeCell ref="A7:C7"/>
    <mergeCell ref="A1:M2"/>
    <mergeCell ref="N5:P5"/>
    <mergeCell ref="N19:Z21"/>
    <mergeCell ref="X14:Z14"/>
    <mergeCell ref="R15:S15"/>
    <mergeCell ref="A8:C8"/>
    <mergeCell ref="J15:K15"/>
    <mergeCell ref="S7:W7"/>
    <mergeCell ref="Q9:S9"/>
    <mergeCell ref="L15:M15"/>
    <mergeCell ref="A17:C17"/>
    <mergeCell ref="X4:Z4"/>
    <mergeCell ref="A10:C10"/>
    <mergeCell ref="D16:E16"/>
    <mergeCell ref="A6:M6"/>
    <mergeCell ref="P16:Q16"/>
    <mergeCell ref="A9:C9"/>
    <mergeCell ref="I5:J5"/>
    <mergeCell ref="N7:P7"/>
    <mergeCell ref="T16:U16"/>
    <mergeCell ref="N1:Z2"/>
    <mergeCell ref="H16:I16"/>
    <mergeCell ref="J16:K16"/>
    <mergeCell ref="L10:M10"/>
    <mergeCell ref="N10:O10"/>
    <mergeCell ref="T8:U8"/>
    <mergeCell ref="D13:M13"/>
    <mergeCell ref="N11:W12"/>
    <mergeCell ref="X17:Z17"/>
    <mergeCell ref="D4:H4"/>
    <mergeCell ref="D8:E8"/>
    <mergeCell ref="V9:W9"/>
    <mergeCell ref="N3:Z3"/>
    <mergeCell ref="N15:O15"/>
    <mergeCell ref="K5:M5"/>
    <mergeCell ref="P15:Q15"/>
    <mergeCell ref="D17:M17"/>
    <mergeCell ref="H15:I15"/>
    <mergeCell ref="X13:Z13"/>
    <mergeCell ref="X7:Z7"/>
    <mergeCell ref="X16:Z16"/>
    <mergeCell ref="D10:E10"/>
    <mergeCell ref="F10:G10"/>
    <mergeCell ref="L16:M16"/>
    <mergeCell ref="N6:Z6"/>
    <mergeCell ref="X15:Z15"/>
    <mergeCell ref="N4:P4"/>
    <mergeCell ref="A5:C5"/>
    <mergeCell ref="X5:Z5"/>
    <mergeCell ref="I7:J7"/>
    <mergeCell ref="Q5:R5"/>
    <mergeCell ref="K7:M7"/>
    <mergeCell ref="Q7:R7"/>
    <mergeCell ref="H10:I10"/>
    <mergeCell ref="S4:W4"/>
    <mergeCell ref="N13:W13"/>
    <mergeCell ref="I4:J4"/>
    <mergeCell ref="N8:S8"/>
    <mergeCell ref="H9:I9"/>
    <mergeCell ref="D14:M14"/>
    <mergeCell ref="X11:Z12"/>
    <mergeCell ref="F15:G15"/>
    <mergeCell ref="V8:W8"/>
    <mergeCell ref="S5:W5"/>
    <mergeCell ref="X8:Z8"/>
    <mergeCell ref="V15:W15"/>
    <mergeCell ref="J9:M9"/>
    <mergeCell ref="V10:W10"/>
    <mergeCell ref="A14:C14"/>
    <mergeCell ref="T9:U9"/>
    <mergeCell ref="D11:M12"/>
    <mergeCell ref="A19:M19"/>
    <mergeCell ref="A11:C12"/>
    <mergeCell ref="A13:C13"/>
    <mergeCell ref="F16:G16"/>
    <mergeCell ref="V16:W16"/>
    <mergeCell ref="N17:W17"/>
    <mergeCell ref="X18:Z18"/>
    <mergeCell ref="J10:K10"/>
    <mergeCell ref="R16:S16"/>
    <mergeCell ref="T10:U10"/>
    <mergeCell ref="N9:P9"/>
    <mergeCell ref="A16:C16"/>
    <mergeCell ref="D18:M18"/>
    <mergeCell ref="A18:C18"/>
    <mergeCell ref="D15:E15"/>
    <mergeCell ref="T15:U15"/>
  </mergeCells>
  <pageMargins left="0.7" right="0.7" top="0.75" bottom="0.75" header="0.3" footer="0.3"/>
  <pageSetup orientation="portrait"/>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Overview</vt:lpstr>
      <vt:lpstr>KPI_104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Talhouk</dc:creator>
  <cp:lastModifiedBy>Cahit Kükner</cp:lastModifiedBy>
  <dcterms:created xsi:type="dcterms:W3CDTF">2022-10-31T09:14:54Z</dcterms:created>
  <dcterms:modified xsi:type="dcterms:W3CDTF">2026-01-24T13:39:10Z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0x010100A591A820BE677B4AB77D96203243AF20</vt:lpwstr>
  </property>
  <property fmtid="{D5CDD505-2E9C-101B-9397-08002B2CF9AE}" pid="3" name="MediaServiceImageTags">
    <vt:lpwstr/>
  </property>
</Properties>
</file>